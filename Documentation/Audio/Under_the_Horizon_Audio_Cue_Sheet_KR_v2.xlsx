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ae206fd10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AI" sheetId="1" r:id="R4eee3bbad9124dd8"/>
    <x:sheet xmlns:r="http://schemas.openxmlformats.org/officeDocument/2006/relationships" name="Change_Log" sheetId="2" r:id="R25b5b109755143c7"/>
    <x:sheet xmlns:r="http://schemas.openxmlformats.org/officeDocument/2006/relationships" name="Audio_Assets" sheetId="3" r:id="Reac4b9cd028e4a5a"/>
    <x:sheet xmlns:r="http://schemas.openxmlformats.org/officeDocument/2006/relationships" name="Location_Defaults" sheetId="4" r:id="R480d7bd43eec483a"/>
    <x:sheet xmlns:r="http://schemas.openxmlformats.org/officeDocument/2006/relationships" name="Scene_Cues_41" sheetId="5" r:id="Rdde010ef46c24ee4"/>
    <x:sheet xmlns:r="http://schemas.openxmlformats.org/officeDocument/2006/relationships" name="Event_Cues" sheetId="6" r:id="Rb3aa60c0cf224c25"/>
    <x:sheet xmlns:r="http://schemas.openxmlformats.org/officeDocument/2006/relationships" name="Implementation_Rules" sheetId="7" r:id="R1300d7888ff24e7e"/>
    <x:sheet xmlns:r="http://schemas.openxmlformats.org/officeDocument/2006/relationships" name="Repo_Audit" sheetId="8" r:id="R6a093a0cc5a04a60"/>
    <x:sheet xmlns:r="http://schemas.openxmlformats.org/officeDocument/2006/relationships" name="Coverage" sheetId="9" r:id="R7513afa925c0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8"/>
      <x:color rgb="FFC9A66B"/>
      <x:name val="Arial"/>
    </x:font>
    <x:font>
      <x:i/>
      <x:sz val="10"/>
      <x:color rgb="FF17324D"/>
      <x:name val="Arial"/>
    </x:font>
    <x:font>
      <x:b/>
      <x:sz val="10"/>
      <x:color rgb="FFFFFFFF"/>
      <x:name val="Arial"/>
    </x:font>
    <x:font>
      <x:sz val="9"/>
      <x:color rgb="FF0E2235"/>
      <x:name val="Arial"/>
    </x:font>
    <x:font>
      <x:b/>
      <x:sz val="17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E2235"/>
      </x:patternFill>
    </x:fill>
    <x:fill>
      <x:patternFill patternType="solid">
        <x:fgColor rgb="FFF7F2E8"/>
      </x:patternFill>
    </x:fill>
    <x:fill>
      <x:patternFill patternType="solid">
        <x:fgColor rgb="FF17324D"/>
      </x:patternFill>
    </x:fill>
    <x:fill>
      <x:patternFill patternType="solid">
        <x:fgColor rgb="FFEEE1C6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185C37"/>
      </x:font>
      <x:fill>
        <x:patternFill patternType="solid">
          <x:bgColor rgb="FFE1F1E8"/>
        </x:patternFill>
      </x:fill>
    </x:dxf>
    <x:dxf>
      <x:font>
        <x:b/>
        <x:color rgb="FF8A1C1C"/>
      </x:font>
      <x:fill>
        <x:patternFill patternType="solid">
          <x:bgColor rgb="FFF8DEDE"/>
        </x:patternFill>
      </x:fill>
    </x:dxf>
    <x:dxf>
      <x:font>
        <x:b/>
        <x:color rgb="FF185C37"/>
      </x:font>
      <x:fill>
        <x:patternFill patternType="solid">
          <x:bgColor rgb="FFE1F1E8"/>
        </x:patternFill>
      </x:fill>
    </x:dxf>
    <x:dxf>
      <x:font>
        <x:b/>
      </x:font>
      <x:fill>
        <x:patternFill patternType="solid">
          <x:bgColor rgb="FFFFF4CC"/>
        </x:patternFill>
      </x:fill>
    </x:dxf>
    <x:dxf>
      <x:font>
        <x:b/>
        <x:color rgb="FF8A1C1C"/>
      </x:font>
      <x:fill>
        <x:patternFill patternType="solid">
          <x:bgColor rgb="FFF8DEDE"/>
        </x:patternFill>
      </x:fill>
    </x:dxf>
    <x:dxf>
      <x:font>
        <x:b/>
        <x:color rgb="FF185C37"/>
      </x:font>
      <x:fill>
        <x:patternFill patternType="solid">
          <x:bgColor rgb="FFE1F1E8"/>
        </x:patternFill>
      </x:fill>
    </x:dxf>
    <x:dxf>
      <x:font>
        <x:b/>
        <x:color rgb="FF8A1C1C"/>
      </x:font>
      <x:fill>
        <x:patternFill patternType="solid">
          <x:bgColor rgb="FFF8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0e10cafc84ab0" /><Relationship Type="http://schemas.openxmlformats.org/officeDocument/2006/relationships/theme" Target="/xl/theme/theme1.xml" Id="Re064416ab3b64565" /><Relationship Type="http://schemas.microsoft.com/office/2022/11/relationships/FeaturePropertyBag" Target="/xl/featurePropertyBag/featurePropertyBag.xml" Id="R0343efa57ac34a60" /><Relationship Type="http://schemas.openxmlformats.org/officeDocument/2006/relationships/sharedStrings" Target="/xl/sharedStrings.xml" Id="R0795a070413f4195" /><Relationship Type="http://schemas.openxmlformats.org/officeDocument/2006/relationships/worksheet" Target="/xl/worksheets/sheet1.xml" Id="R4eee3bbad9124dd8" /><Relationship Type="http://schemas.openxmlformats.org/officeDocument/2006/relationships/worksheet" Target="/xl/worksheets/sheet2.xml" Id="R25b5b109755143c7" /><Relationship Type="http://schemas.openxmlformats.org/officeDocument/2006/relationships/worksheet" Target="/xl/worksheets/sheet3.xml" Id="Reac4b9cd028e4a5a" /><Relationship Type="http://schemas.openxmlformats.org/officeDocument/2006/relationships/worksheet" Target="/xl/worksheets/sheet4.xml" Id="R480d7bd43eec483a" /><Relationship Type="http://schemas.openxmlformats.org/officeDocument/2006/relationships/worksheet" Target="/xl/worksheets/sheet5.xml" Id="Rdde010ef46c24ee4" /><Relationship Type="http://schemas.openxmlformats.org/officeDocument/2006/relationships/worksheet" Target="/xl/worksheets/sheet6.xml" Id="Rb3aa60c0cf224c25" /><Relationship Type="http://schemas.openxmlformats.org/officeDocument/2006/relationships/worksheet" Target="/xl/worksheets/sheet7.xml" Id="R1300d7888ff24e7e" /><Relationship Type="http://schemas.openxmlformats.org/officeDocument/2006/relationships/worksheet" Target="/xl/worksheets/sheet8.xml" Id="R6a093a0cc5a04a60" /><Relationship Type="http://schemas.openxmlformats.org/officeDocument/2006/relationships/worksheet" Target="/xl/worksheets/sheet9.xml" Id="R7513afa925c040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dioChangeLogTable" displayName="AudioChangeLogTable" ref="A1:D10" headerRowCount="1">
  <x:tableColumns count="4">
    <x:tableColumn id="1" name="Date"/>
    <x:tableColumn id="2" name="Type"/>
    <x:tableColumn id="3" name="Target/Asset"/>
    <x:tableColumn id="4" name="Current Mapping / Required Action"/>
  </x:tableColumns>
  <x:tableStyleInfo name="TableStyleMedium2" showRowStripes="1"/>
</x:table>
</file>

<file path=xl/tables/table2.xml><?xml version="1.0" encoding="utf-8"?>
<x:table xmlns:x="http://schemas.openxmlformats.org/spreadsheetml/2006/main" id="2" name="AudioAssetsV2Table" displayName="AudioAssetsV2Table" ref="A1:K25" headerRowCount="1">
  <x:tableColumns count="11">
    <x:tableColumn id="1" name="Audio_ID"/>
    <x:tableColumn id="2" name="Category"/>
    <x:tableColumn id="3" name="File_Name"/>
    <x:tableColumn id="4" name="Resources_Load_Key"/>
    <x:tableColumn id="5" name="Proposed_Role"/>
    <x:tableColumn id="6" name="Loop"/>
    <x:tableColumn id="7" name="Usage_Status"/>
    <x:tableColumn id="8" name="Meta_Status"/>
    <x:tableColumn id="9" name="Added_Date"/>
    <x:tableColumn id="10" name="Validation_Note"/>
    <x:tableColumn id="11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LocationDefaultsV2Table" displayName="LocationDefaultsV2Table" ref="A1:J26" headerRowCount="1">
  <x:tableColumns count="10">
    <x:tableColumn id="1" name="Canonical_Location"/>
    <x:tableColumn id="2" name="Display_Name"/>
    <x:tableColumn id="3" name="Narrative_Aliases"/>
    <x:tableColumn id="4" name="Default_BGM"/>
    <x:tableColumn id="5" name="Primary_Ambience"/>
    <x:tableColumn id="6" name="Primary_Volume"/>
    <x:tableColumn id="7" name="Secondary_Ambience"/>
    <x:tableColumn id="8" name="Secondary_Volume"/>
    <x:tableColumn id="9" name="Crossfade_Sec"/>
    <x:tableColumn id="10" name="Implementation_Note"/>
  </x:tableColumns>
  <x:tableStyleInfo name="TableStyleMedium2" showRowStripes="1"/>
</x:table>
</file>

<file path=xl/tables/table4.xml><?xml version="1.0" encoding="utf-8"?>
<x:table xmlns:x="http://schemas.openxmlformats.org/spreadsheetml/2006/main" id="4" name="SceneAudioCuesV2Table" displayName="SceneAudioCuesV2Table" ref="A1:AA42" headerRowCount="1">
  <x:tableColumns count="27">
    <x:tableColumn id="1" name="Order"/>
    <x:tableColumn id="2" name="Scene_ID"/>
    <x:tableColumn id="3" name="Scene_Name"/>
    <x:tableColumn id="4" name="Day"/>
    <x:tableColumn id="5" name="Time"/>
    <x:tableColumn id="6" name="Scene_Type"/>
    <x:tableColumn id="7" name="Narrative_Location"/>
    <x:tableColumn id="8" name="Canonical_Location"/>
    <x:tableColumn id="9" name="Situation_State"/>
    <x:tableColumn id="10" name="Entry_Trigger"/>
    <x:tableColumn id="11" name="Primary_BGM"/>
    <x:tableColumn id="12" name="BGM_Action"/>
    <x:tableColumn id="13" name="BGM_Volume"/>
    <x:tableColumn id="14" name="Crossfade_Sec"/>
    <x:tableColumn id="15" name="Ambient_Layer_1"/>
    <x:tableColumn id="16" name="Ambient1_Volume"/>
    <x:tableColumn id="17" name="Ambient_Layer_2"/>
    <x:tableColumn id="18" name="Ambient2_Volume"/>
    <x:tableColumn id="19" name="Entry_Stinger"/>
    <x:tableColumn id="20" name="Event_SFX"/>
    <x:tableColumn id="21" name="Ducking_Rule"/>
    <x:tableColumn id="22" name="Exit_Rule"/>
    <x:tableColumn id="23" name="Conditional_Override"/>
    <x:tableColumn id="24" name="Implementation_Notes"/>
    <x:tableColumn id="25" name="Repo_Update"/>
    <x:tableColumn id="26" name="Confidence"/>
    <x:tableColumn id="27" name="Source_Basis"/>
  </x:tableColumns>
  <x:tableStyleInfo name="TableStyleMedium2" showRowStripes="1"/>
</x:table>
</file>

<file path=xl/tables/table5.xml><?xml version="1.0" encoding="utf-8"?>
<x:table xmlns:x="http://schemas.openxmlformats.org/spreadsheetml/2006/main" id="5" name="EventCuesV2Table" displayName="EventCuesV2Table" ref="A1:I18" headerRowCount="1">
  <x:tableColumns count="9">
    <x:tableColumn id="1" name="Event_ID"/>
    <x:tableColumn id="2" name="Trigger"/>
    <x:tableColumn id="3" name="Resource_Key"/>
    <x:tableColumn id="4" name="Playback_Mode"/>
    <x:tableColumn id="5" name="Default_Volume"/>
    <x:tableColumn id="6" name="Pitch_Random_Range"/>
    <x:tableColumn id="7" name="Cooldown/Guard"/>
    <x:tableColumn id="8" name="Scene/Location_Scope"/>
    <x:tableColumn id="9" name="AI_Implement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ImplementationRulesV2Table" displayName="ImplementationRulesV2Table" ref="A1:C14" headerRowCount="1">
  <x:tableColumns count="3">
    <x:tableColumn id="1" name="Rule_Key"/>
    <x:tableColumn id="2" name="Required_Behavior"/>
    <x:tableColumn id="3" name="AI/Unity_Execution_Detail"/>
  </x:tableColumns>
  <x:tableStyleInfo name="TableStyleMedium2" showRowStripes="1"/>
</x:table>
</file>

<file path=xl/tables/table7.xml><?xml version="1.0" encoding="utf-8"?>
<x:table xmlns:x="http://schemas.openxmlformats.org/spreadsheetml/2006/main" id="7" name="RepoAudioAuditTable" displayName="RepoAudioAuditTable" ref="A1:E9" headerRowCount="1">
  <x:tableColumns count="5">
    <x:tableColumn id="1" name="Audit_Item"/>
    <x:tableColumn id="2" name="Value"/>
    <x:tableColumn id="3" name="Source"/>
    <x:tableColumn id="4" name="Interpretation"/>
    <x:tableColumn id="5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5ba30305fa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be7ebae3d6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af14d21dd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8149c79b1b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13fb2b27f646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d1848e124c44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447495b160423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34" customHeight="1">
      <x:c r="A1" s="4" t="str">
        <x:v>UNDER THE HORIZON · AUDIO CUE SHEET v2.0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2026-07-29 main 기준 · 신규 철문/엔진/팬/바람 음원 5종을 반영한 41개 씬 오디오 실행 규격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20" t="str">
        <x:v>항목</x:v>
      </x:c>
      <x:c r="B4" s="20" t="str">
        <x:v>내용</x:v>
      </x:c>
    </x:row>
    <x:row r="5">
      <x:c r="A5" s="28" t="str">
        <x:v>이번 개정 핵심</x:v>
      </x:c>
      <x:c r="B5" s="28" t="str">
        <x:v>새 음원 5종을 추가하고 야외·기관·제한구역의 기존 임시/무음 매핑을 실제 리소스로 교체했다.</x:v>
      </x:c>
    </x:row>
    <x:row r="6">
      <x:c r="A6" s="28" t="str">
        <x:v>현재 리소스</x:v>
      </x:c>
      <x:c r="B6" s="28" t="str">
        <x:v>BGM 7종, SFX·앰비언스 17종. 총 24개 오디오 파일을 큐 시트에서 관리한다.</x:v>
      </x:c>
    </x:row>
    <x:row r="7">
      <x:c r="A7" s="28" t="str">
        <x:v>신규 음원</x:v>
      </x:c>
      <x:c r="B7" s="28" t="str">
        <x:v>철문 노크, 철문 열고 닫기, 보트 엔진, 공장 배기 팬, 바람.</x:v>
      </x:c>
    </x:row>
    <x:row r="8">
      <x:c r="A8" s="28" t="str">
        <x:v>AI 적용 우선순위</x:v>
      </x:c>
      <x:c r="B8" s="28" t="str">
        <x:v>Event/Cutscene Override &gt; Scene Override &gt; Location Default &gt; 현재 트랙 유지.</x:v>
      </x:c>
    </x:row>
    <x:row r="9">
      <x:c r="A9" s="28" t="str">
        <x:v>앰비언스 구조</x:v>
      </x:c>
      <x:c r="B9" s="28" t="str">
        <x:v>Primary + Secondary 2레이어. 야외는 바람+파도, 기관 구역은 팬+엔진을 기본 조합으로 한다.</x:v>
      </x:c>
    </x:row>
    <x:row r="10">
      <x:c r="A10" s="28" t="str">
        <x:v>코드 주의</x:v>
      </x:c>
      <x:c r="B10" s="28" t="str">
        <x:v>현재 AudioManager는 musicSource와 sfxSource만 직렬화한다. 크로스페이드와 2레이어 앰비언스를 위해 소스 확장이 필요하다.</x:v>
      </x:c>
    </x:row>
    <x:row r="11">
      <x:c r="A11" s="28" t="str">
        <x:v>메타 주의</x:v>
      </x:c>
      <x:c r="B11" s="28" t="str">
        <x:v>신규 음원 추가 커밋은 5개 mp3만 포함한다. Unity에서 생성된 .meta를 반드시 함께 커밋해야 한다.</x:v>
      </x:c>
    </x:row>
    <x:row r="12">
      <x:c r="A12" s="28" t="str">
        <x:v>청음 주의</x:v>
      </x:c>
      <x:c r="B12" s="28" t="str">
        <x:v>파일명과 서사 맥락으로 배정했다. 실제 루프 이음새, 저역 충돌, 철문 클립의 열기/닫기 구간은 청음 검수한다.</x:v>
      </x:c>
    </x:row>
    <x:row r="13">
      <x:c r="A13" s="28" t="str">
        <x:v>플레이어 노출</x:v>
      </x:c>
      <x:c r="B13" s="28" t="str">
        <x:v>Scene_ID, Audio_ID, 리소스 경로와 내부 상태는 개발·QA에서만 사용한다.</x:v>
      </x:c>
    </x:row>
    <x:row r="16" ht="30" customHeight="1">
      <x:c r="A16" s="20" t="str">
        <x:v>근거</x:v>
      </x:c>
      <x:c r="B16" s="20" t="str">
        <x:v>URL/파일</x:v>
      </x:c>
    </x:row>
    <x:row r="17">
      <x:c r="A17" s="28" t="str">
        <x:v>Repository</x:v>
      </x:c>
      <x:c r="B17" s="28" t="str">
        <x:v>https://github.com/madcamp-official/project-mystery</x:v>
      </x:c>
    </x:row>
    <x:row r="18">
      <x:c r="A18" s="28" t="str">
        <x:v>Resources</x:v>
      </x:c>
      <x:c r="B18" s="28" t="str">
        <x:v>https://github.com/madcamp-official/project-mystery/tree/main/Assets/_Project/Resources</x:v>
      </x:c>
    </x:row>
    <x:row r="19">
      <x:c r="A19" s="28" t="str">
        <x:v>BGM Folder</x:v>
      </x:c>
      <x:c r="B19" s="28" t="str">
        <x:v>https://github.com/madcamp-official/project-mystery/tree/main/Assets/_Project/Resources/BGM</x:v>
      </x:c>
    </x:row>
    <x:row r="20">
      <x:c r="A20" s="28" t="str">
        <x:v>SoundEffect Folder</x:v>
      </x:c>
      <x:c r="B20" s="28" t="str">
        <x:v>https://github.com/madcamp-official/project-mystery/tree/main/Assets/_Project/Resources/SoundEffect</x:v>
      </x:c>
    </x:row>
    <x:row r="21">
      <x:c r="A21" s="28" t="str">
        <x:v>New Audio Commit</x:v>
      </x:c>
      <x:c r="B21" s="28" t="str">
        <x:v>https://github.com/madcamp-official/project-mystery/commit/4287b0b0b97a28d7655b3d94fd9723756baba9a8</x:v>
      </x:c>
    </x:row>
    <x:row r="22">
      <x:c r="A22" s="28" t="str">
        <x:v>AudioManager.cs</x:v>
      </x:c>
      <x:c r="B22" s="28" t="str">
        <x:v>https://github.com/madcamp-official/project-mystery/blob/main/Assets/_Project/Code/Core/AudioManager.cs</x:v>
      </x:c>
    </x:row>
    <x:row r="23">
      <x:c r="A23" s="28" t="str">
        <x:v>Scenario</x:v>
      </x:c>
      <x:c r="B23" s="28" t="str">
        <x:v>/mnt/data/The_Wake_Without_Footprints_Game_Scenario_KR(1).pdf</x:v>
      </x:c>
    </x:row>
    <x:row r="24">
      <x:c r="A24" s="28" t="str">
        <x:v>Production Manual</x:v>
      </x:c>
      <x:c r="B24" s="28" t="str">
        <x:v>/mnt/data/The_Wake_Without_Footprints_Production_Manual_KR(1).pdf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55" hidden="0" customWidth="1"/>
    <x:col min="4" max="4" width="85" hidden="0" customWidth="1"/>
  </x:cols>
  <x:sheetData>
    <x:row r="1" ht="30" customHeight="1">
      <x:c r="A1" s="20" t="str">
        <x:v>Date</x:v>
      </x:c>
      <x:c r="B1" s="20" t="str">
        <x:v>Type</x:v>
      </x:c>
      <x:c r="C1" s="20" t="str">
        <x:v>Target/Asset</x:v>
      </x:c>
      <x:c r="D1" s="20" t="str">
        <x:v>Current Mapping / Required Action</x:v>
      </x:c>
    </x:row>
    <x:row r="2">
      <x:c r="A2" s="28" t="str">
        <x:v>2026-07-29</x:v>
      </x:c>
      <x:c r="B2" s="28" t="str">
        <x:v>신규 SFX</x:v>
      </x:c>
      <x:c r="C2" s="28" t="str">
        <x:v>The_sound_of_an_iron_door_knocking.mp3</x:v>
      </x:c>
      <x:c r="D2" s="28" t="str">
        <x:v>제한구역 접근 실패·명시적 노크</x:v>
      </x:c>
    </x:row>
    <x:row r="3">
      <x:c r="A3" s="28" t="str">
        <x:v>2026-07-29</x:v>
      </x:c>
      <x:c r="B3" s="28" t="str">
        <x:v>신규 SFX</x:v>
      </x:c>
      <x:c r="C3" s="28" t="str">
        <x:v>The_sound_of_an_iron_door_opening_and_closing.mp3</x:v>
      </x:c>
      <x:c r="D3" s="28" t="str">
        <x:v>금고·기관·밸러스트 철문 개폐</x:v>
      </x:c>
    </x:row>
    <x:row r="4">
      <x:c r="A4" s="28" t="str">
        <x:v>2026-07-29</x:v>
      </x:c>
      <x:c r="B4" s="28" t="str">
        <x:v>신규 AMB</x:v>
      </x:c>
      <x:c r="C4" s="28" t="str">
        <x:v>boat_engine_sound.mp3</x:v>
      </x:c>
      <x:c r="D4" s="28" t="str">
        <x:v>항구·승선·기관·귀항 엔진 레이어</x:v>
      </x:c>
    </x:row>
    <x:row r="5">
      <x:c r="A5" s="28" t="str">
        <x:v>2026-07-29</x:v>
      </x:c>
      <x:c r="B5" s="28" t="str">
        <x:v>신규 AMB</x:v>
      </x:c>
      <x:c r="C5" s="28" t="str">
        <x:v>factory_exhaust_fan_sound.mp3</x:v>
      </x:c>
      <x:c r="D5" s="28" t="str">
        <x:v>서비스·기관·밸러스트 기계 레이어</x:v>
      </x:c>
    </x:row>
    <x:row r="6">
      <x:c r="A6" s="28" t="str">
        <x:v>2026-07-29</x:v>
      </x:c>
      <x:c r="B6" s="28" t="str">
        <x:v>신규 AMB</x:v>
      </x:c>
      <x:c r="C6" s="28" t="str">
        <x:v>wind_noise.mp3</x:v>
      </x:c>
      <x:c r="D6" s="28" t="str">
        <x:v>항구·산책 갑판·야외 갑판 바람</x:v>
      </x:c>
    </x:row>
    <x:row r="7">
      <x:c r="A7" s="28" t="str">
        <x:v>2026-07-29</x:v>
      </x:c>
      <x:c r="B7" s="28" t="str">
        <x:v>매핑 변경</x:v>
      </x:c>
      <x:c r="C7" s="28" t="str">
        <x:v>야외 장소</x:v>
      </x:c>
      <x:c r="D7" s="28" t="str">
        <x:v>기존 파도 단독 → 바람+파도 2레이어</x:v>
      </x:c>
    </x:row>
    <x:row r="8">
      <x:c r="A8" s="28" t="str">
        <x:v>2026-07-29</x:v>
      </x:c>
      <x:c r="B8" s="28" t="str">
        <x:v>매핑 변경</x:v>
      </x:c>
      <x:c r="C8" s="28" t="str">
        <x:v>기관/서비스 장소</x:v>
      </x:c>
      <x:c r="D8" s="28" t="str">
        <x:v>기존 무음 앰비언스 → 팬+엔진 레이어</x:v>
      </x:c>
    </x:row>
    <x:row r="9">
      <x:c r="A9" s="28" t="str">
        <x:v>2026-07-29</x:v>
      </x:c>
      <x:c r="B9" s="28" t="str">
        <x:v>구현 주의</x:v>
      </x:c>
      <x:c r="C9" s="28" t="str">
        <x:v>AudioManager</x:v>
      </x:c>
      <x:c r="D9" s="28" t="str">
        <x:v>현재 musicSource/sfxSource 구조를 다중 레이어 구조로 확장 필요</x:v>
      </x:c>
    </x:row>
    <x:row r="10">
      <x:c r="A10" s="28" t="str">
        <x:v>2026-07-29</x:v>
      </x:c>
      <x:c r="B10" s="28" t="str">
        <x:v>리포지토리 주의</x:v>
      </x:c>
      <x:c r="C10" s="28" t="str">
        <x:v>신규 5개 mp3</x:v>
      </x:c>
      <x:c r="D10" s="28" t="str">
        <x:v>추가 커밋에서 .meta 파일 미확인</x:v>
      </x:c>
    </x:row>
  </x:sheetData>
  <x:pageMargins left="0.7" right="0.7" top="0.75" bottom="0.75" header="0.3" footer="0.3"/>
  <x:tableParts count="1">
    <x:tablePart xmlns:r="http://schemas.openxmlformats.org/officeDocument/2006/relationships" r:id="R965ba30305fa4a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48" hidden="0" customWidth="1"/>
    <x:col min="4" max="4" width="60" hidden="0" customWidth="1"/>
    <x:col min="5" max="5" width="62" hidden="0" customWidth="1"/>
    <x:col min="6" max="6" width="8" hidden="0" customWidth="1"/>
    <x:col min="7" max="7" width="15" hidden="0" customWidth="1"/>
    <x:col min="8" max="8" width="22" hidden="0" customWidth="1"/>
    <x:col min="9" max="9" width="14" hidden="0" customWidth="1"/>
    <x:col min="10" max="10" width="72" hidden="0" customWidth="1"/>
    <x:col min="11" max="11" width="65" hidden="0" customWidth="1"/>
    <x:col min="12" max="12" width="18" hidden="0" customWidth="1"/>
  </x:cols>
  <x:sheetData>
    <x:row r="1" ht="30" customHeight="1">
      <x:c r="A1" s="20" t="str">
        <x:v>Audio_ID</x:v>
      </x:c>
      <x:c r="B1" s="20" t="str">
        <x:v>Category</x:v>
      </x:c>
      <x:c r="C1" s="20" t="str">
        <x:v>File_Name</x:v>
      </x:c>
      <x:c r="D1" s="20" t="str">
        <x:v>Resources_Load_Key</x:v>
      </x:c>
      <x:c r="E1" s="20" t="str">
        <x:v>Proposed_Role</x:v>
      </x:c>
      <x:c r="F1" s="20" t="str">
        <x:v>Loop</x:v>
      </x:c>
      <x:c r="G1" s="20" t="str">
        <x:v>Usage_Status</x:v>
      </x:c>
      <x:c r="H1" s="20" t="str">
        <x:v>Meta_Status</x:v>
      </x:c>
      <x:c r="I1" s="20" t="str">
        <x:v>Added_Date</x:v>
      </x:c>
      <x:c r="J1" s="20" t="str">
        <x:v>Validation_Note</x:v>
      </x:c>
      <x:c r="K1" s="20" t="str">
        <x:v>Source_URL</x:v>
      </x:c>
      <x:c r="L1" s="20" t="str">
        <x:v>Mapping_Status</x:v>
      </x:c>
    </x:row>
    <x:row r="2">
      <x:c r="A2" s="28" t="str">
        <x:v>BGM_EVELYN_FINAL</x:v>
      </x:c>
      <x:c r="B2" s="28" t="str">
        <x:v>BGM</x:v>
      </x:c>
      <x:c r="C2" s="28" t="str">
        <x:v>Evelyn_s_Final_Clause.mp3</x:v>
      </x:c>
      <x:c r="D2" s="28" t="str">
        <x:v>BGM/Evelyn_s_Final_Clause</x:v>
      </x:c>
      <x:c r="E2" s="28" t="str">
        <x:v>최종 대치·추격·Evelyn의 위협이 전면화된 장면</x:v>
      </x:c>
      <x:c r="F2" s="36" t="b">
        <x:v>1</x:v>
      </x:c>
      <x:c r="G2" s="28" t="str">
        <x:v>사용</x:v>
      </x:c>
      <x:c r="H2" s="28" t="str">
        <x:v>기존 .meta 확인</x:v>
      </x:c>
      <x:c r="I2" s="28" t="str">
        <x:v>2026-07-25~28</x:v>
      </x:c>
      <x:c r="J2" s="28" t="str">
        <x:v>청음 전 배정: 파일명과 시나리오 맥락 기반 추정</x:v>
      </x:c>
      <x:c r="K2" s="28" t="str">
        <x:v>https://github.com/madcamp-official/project-mystery/tree/main/Assets/_Project/Resources/BGM</x:v>
      </x:c>
      <x:c r="L2" s="28" t="str">
        <x:v>Existing</x:v>
      </x:c>
    </x:row>
    <x:row r="3">
      <x:c r="A3" s="28" t="str">
        <x:v>BGM_LAST_WALTZ</x:v>
      </x:c>
      <x:c r="B3" s="28" t="str">
        <x:v>BGM</x:v>
      </x:c>
      <x:c r="C3" s="28" t="str">
        <x:v>Last_Waltz_on_the_Elysium.mp3</x:v>
      </x:c>
      <x:c r="D3" s="28" t="str">
        <x:v>BGM/Last_Waltz_on_the_Elysium</x:v>
      </x:c>
      <x:c r="E3" s="28" t="str">
        <x:v>볼룸·선상파티·화려함 뒤의 불안·씁쓸한 종결</x:v>
      </x:c>
      <x:c r="F3" s="36" t="b">
        <x:v>1</x:v>
      </x:c>
      <x:c r="G3" s="28" t="str">
        <x:v>사용</x:v>
      </x:c>
      <x:c r="H3" s="28" t="str">
        <x:v>기존 .meta 확인</x:v>
      </x:c>
      <x:c r="I3" s="28" t="str">
        <x:v>2026-07-25~28</x:v>
      </x:c>
      <x:c r="J3" s="28" t="str">
        <x:v>청음 전 배정: 파일명과 시나리오 맥락 기반 추정</x:v>
      </x:c>
      <x:c r="K3" s="28" t="str">
        <x:v>https://github.com/madcamp-official/project-mystery/tree/main/Assets/_Project/Resources/BGM</x:v>
      </x:c>
      <x:c r="L3" s="28" t="str">
        <x:v>Existing</x:v>
      </x:c>
    </x:row>
    <x:row r="4">
      <x:c r="A4" s="28" t="str">
        <x:v>BGM_ADRIAN_THEME</x:v>
      </x:c>
      <x:c r="B4" s="28" t="str">
        <x:v>BGM</x:v>
      </x:c>
      <x:c r="C4" s="28" t="str">
        <x:v>Midnight_Latitude(Theme_Adrian_Vale).mp3</x:v>
      </x:c>
      <x:c r="D4" s="28" t="str">
        <x:v>BGM/Midnight_Latitude(Theme_Adrian_Vale)</x:v>
      </x:c>
      <x:c r="E4" s="28" t="str">
        <x:v>Adrian 중심 조사·로그 비교·재구성·중립적 추리</x:v>
      </x:c>
      <x:c r="F4" s="36" t="b">
        <x:v>1</x:v>
      </x:c>
      <x:c r="G4" s="28" t="str">
        <x:v>사용</x:v>
      </x:c>
      <x:c r="H4" s="28" t="str">
        <x:v>기존 .meta 확인</x:v>
      </x:c>
      <x:c r="I4" s="28" t="str">
        <x:v>2026-07-25~28</x:v>
      </x:c>
      <x:c r="J4" s="28" t="str">
        <x:v>청음 전 배정: 파일명에 Theme_Adrian_Vale 명시</x:v>
      </x:c>
      <x:c r="K4" s="28" t="str">
        <x:v>https://github.com/madcamp-official/project-mystery/tree/main/Assets/_Project/Resources/BGM</x:v>
      </x:c>
      <x:c r="L4" s="28" t="str">
        <x:v>Existing</x:v>
      </x:c>
    </x:row>
    <x:row r="5">
      <x:c r="A5" s="28" t="str">
        <x:v>BGM_PASSAGE_PORT</x:v>
      </x:c>
      <x:c r="B5" s="28" t="str">
        <x:v>BGM</x:v>
      </x:c>
      <x:c r="C5" s="28" t="str">
        <x:v>Passage_to_Port.mp3</x:v>
      </x:c>
      <x:c r="D5" s="28" t="str">
        <x:v>BGM/Passage_to_Port</x:v>
      </x:c>
      <x:c r="E5" s="28" t="str">
        <x:v>항구·승선·낮 시간 이동·귀항·여정의 시작과 끝</x:v>
      </x:c>
      <x:c r="F5" s="36" t="b">
        <x:v>1</x:v>
      </x:c>
      <x:c r="G5" s="28" t="str">
        <x:v>사용</x:v>
      </x:c>
      <x:c r="H5" s="28" t="str">
        <x:v>기존 .meta 확인</x:v>
      </x:c>
      <x:c r="I5" s="28" t="str">
        <x:v>2026-07-25~28</x:v>
      </x:c>
      <x:c r="J5" s="28" t="str">
        <x:v>청음 전 배정: 파일명과 장소 맥락 기반 추정</x:v>
      </x:c>
      <x:c r="K5" s="28" t="str">
        <x:v>https://github.com/madcamp-official/project-mystery/tree/main/Assets/_Project/Resources/BGM</x:v>
      </x:c>
      <x:c r="L5" s="28" t="str">
        <x:v>Existing</x:v>
      </x:c>
    </x:row>
    <x:row r="6">
      <x:c r="A6" s="28" t="str">
        <x:v>BGM_HORIZON_ROOM</x:v>
      </x:c>
      <x:c r="B6" s="28" t="str">
        <x:v>BGM</x:v>
      </x:c>
      <x:c r="C6" s="28" t="str">
        <x:v>The_Horizon_Room.mp3</x:v>
      </x:c>
      <x:c r="D6" s="28" t="str">
        <x:v>BGM/The_Horizon_Room</x:v>
      </x:c>
      <x:c r="E6" s="28" t="str">
        <x:v>Horizon Room·불가능 사건·시신 이동 트릭·범행 현장 발견</x:v>
      </x:c>
      <x:c r="F6" s="36" t="b">
        <x:v>1</x:v>
      </x:c>
      <x:c r="G6" s="28" t="str">
        <x:v>사용</x:v>
      </x:c>
      <x:c r="H6" s="28" t="str">
        <x:v>기존 .meta 확인</x:v>
      </x:c>
      <x:c r="I6" s="28" t="str">
        <x:v>2026-07-25~28</x:v>
      </x:c>
      <x:c r="J6" s="28" t="str">
        <x:v>청음 전 배정: 파일명에 장소 명시</x:v>
      </x:c>
      <x:c r="K6" s="28" t="str">
        <x:v>https://github.com/madcamp-official/project-mystery/tree/main/Assets/_Project/Resources/BGM</x:v>
      </x:c>
      <x:c r="L6" s="28" t="str">
        <x:v>Existing</x:v>
      </x:c>
    </x:row>
    <x:row r="7">
      <x:c r="A7" s="28" t="str">
        <x:v>BGM_THOMAS_THEME</x:v>
      </x:c>
      <x:c r="B7" s="28" t="str">
        <x:v>BGM</x:v>
      </x:c>
      <x:c r="C7" s="28" t="str">
        <x:v>The_Long_Watch(Theme_Thomas_Reed).mp3</x:v>
      </x:c>
      <x:c r="D7" s="28" t="str">
        <x:v>BGM/The_Long_Watch(Theme_Thomas_Reed)</x:v>
      </x:c>
      <x:c r="E7" s="28" t="str">
        <x:v>Thomas·브리지·Orpheus의 과거·침묵과 책임</x:v>
      </x:c>
      <x:c r="F7" s="36" t="b">
        <x:v>1</x:v>
      </x:c>
      <x:c r="G7" s="28" t="str">
        <x:v>사용</x:v>
      </x:c>
      <x:c r="H7" s="28" t="str">
        <x:v>기존 .meta 확인</x:v>
      </x:c>
      <x:c r="I7" s="28" t="str">
        <x:v>2026-07-25~28</x:v>
      </x:c>
      <x:c r="J7" s="28" t="str">
        <x:v>청음 전 배정: 파일명에 Theme_Thomas_Reed 명시</x:v>
      </x:c>
      <x:c r="K7" s="28" t="str">
        <x:v>https://github.com/madcamp-official/project-mystery/tree/main/Assets/_Project/Resources/BGM</x:v>
      </x:c>
      <x:c r="L7" s="28" t="str">
        <x:v>Existing</x:v>
      </x:c>
    </x:row>
    <x:row r="8">
      <x:c r="A8" s="28" t="str">
        <x:v>BGM_MAHOGANY_LEDGER</x:v>
      </x:c>
      <x:c r="B8" s="28" t="str">
        <x:v>BGM</x:v>
      </x:c>
      <x:c r="C8" s="28" t="str">
        <x:v>The_Mahogany_Ledger(Theme_Richard Hawthorne_Evelyn_Shaw).mp3</x:v>
      </x:c>
      <x:c r="D8" s="28" t="str">
        <x:v>BGM/The_Mahogany_Ledger(Theme_Richard Hawthorne_Evelyn_Shaw)</x:v>
      </x:c>
      <x:c r="E8" s="28" t="str">
        <x:v>Richard/Evelyn·회사 권력·은폐·금고·심문</x:v>
      </x:c>
      <x:c r="F8" s="36" t="b">
        <x:v>1</x:v>
      </x:c>
      <x:c r="G8" s="28" t="str">
        <x:v>사용</x:v>
      </x:c>
      <x:c r="H8" s="28" t="str">
        <x:v>기존 .meta 확인</x:v>
      </x:c>
      <x:c r="I8" s="28" t="str">
        <x:v>2026-07-25~28</x:v>
      </x:c>
      <x:c r="J8" s="28" t="str">
        <x:v>청음 전 배정: 파일명에 Richard Hawthorne/Evelyn Shaw 테마 명시</x:v>
      </x:c>
      <x:c r="K8" s="28" t="str">
        <x:v>https://github.com/madcamp-official/project-mystery/tree/main/Assets/_Project/Resources/BGM</x:v>
      </x:c>
      <x:c r="L8" s="28" t="str">
        <x:v>Existing</x:v>
      </x:c>
    </x:row>
    <x:row r="9">
      <x:c r="A9" s="28" t="str">
        <x:v>SFX_PAGE_BOOK</x:v>
      </x:c>
      <x:c r="B9" s="28" t="str">
        <x:v>SFX/AMB</x:v>
      </x:c>
      <x:c r="C9" s="28" t="str">
        <x:v>Book Page Turning.mp3</x:v>
      </x:c>
      <x:c r="D9" s="28" t="str">
        <x:v>SoundEffect/Book Page Turning</x:v>
      </x:c>
      <x:c r="E9" s="28" t="str">
        <x:v>문서·기록·금고 자료·아카이브 페이지 전환</x:v>
      </x:c>
      <x:c r="F9" s="36" t="b">
        <x:v>0</x:v>
      </x:c>
      <x:c r="G9" s="28" t="str">
        <x:v>사용</x:v>
      </x:c>
      <x:c r="H9" s="28" t="str">
        <x:v>기존 .meta 확인</x:v>
      </x:c>
      <x:c r="I9" s="28" t="str">
        <x:v>2026-07-25~28</x:v>
      </x:c>
      <x:c r="J9" s="28" t="str">
        <x:v>직접 의미 일치</x:v>
      </x:c>
      <x:c r="K9" s="28" t="str">
        <x:v>https://github.com/madcamp-official/project-mystery/tree/main/Assets/_Project/Resources/SoundEffect</x:v>
      </x:c>
      <x:c r="L9" s="28" t="str">
        <x:v>Existing</x:v>
      </x:c>
    </x:row>
    <x:row r="10">
      <x:c r="A10" s="28" t="str">
        <x:v>AMB_CROWD_INTERIOR</x:v>
      </x:c>
      <x:c r="B10" s="28" t="str">
        <x:v>SFX/AMB</x:v>
      </x:c>
      <x:c r="C10" s="28" t="str">
        <x:v>Cafe_buzzing_sound.mp3</x:v>
      </x:c>
      <x:c r="D10" s="28" t="str">
        <x:v>SoundEffect/Cafe_buzzing_sound</x:v>
      </x:c>
      <x:c r="E10" s="28" t="str">
        <x:v>아트리움·식당·볼룸·뉴스 라운지의 실내 군중 웅성거림</x:v>
      </x:c>
      <x:c r="F10" s="36" t="b">
        <x:v>1</x:v>
      </x:c>
      <x:c r="G10" s="28" t="str">
        <x:v>임시/검수</x:v>
      </x:c>
      <x:c r="H10" s="28" t="str">
        <x:v>기존 .meta 확인</x:v>
      </x:c>
      <x:c r="I10" s="28" t="str">
        <x:v>2026-07-25~28</x:v>
      </x:c>
      <x:c r="J10" s="28" t="str">
        <x:v>카페 소음의 장소 대체 사용</x:v>
      </x:c>
      <x:c r="K10" s="28" t="str">
        <x:v>https://github.com/madcamp-official/project-mystery/tree/main/Assets/_Project/Resources/SoundEffect</x:v>
      </x:c>
      <x:c r="L10" s="28" t="str">
        <x:v>Existing</x:v>
      </x:c>
    </x:row>
    <x:row r="11">
      <x:c r="A11" s="28" t="str">
        <x:v>SFX_FOOTSTEP_ROUGH_TEMP</x:v>
      </x:c>
      <x:c r="B11" s="28" t="str">
        <x:v>SFX/AMB</x:v>
      </x:c>
      <x:c r="C11" s="28" t="str">
        <x:v>Mountain Hiking Footsteps.mp3</x:v>
      </x:c>
      <x:c r="D11" s="28" t="str">
        <x:v>SoundEffect/Mountain Hiking Footsteps</x:v>
      </x:c>
      <x:c r="E11" s="28" t="str">
        <x:v>거친 바닥·밸러스트·서비스 레일 발걸음의 임시 대체</x:v>
      </x:c>
      <x:c r="F11" s="36" t="b">
        <x:v>0</x:v>
      </x:c>
      <x:c r="G11" s="28" t="str">
        <x:v>임시/검수</x:v>
      </x:c>
      <x:c r="H11" s="28" t="str">
        <x:v>기존 .meta 확인</x:v>
      </x:c>
      <x:c r="I11" s="28" t="str">
        <x:v>2026-07-25~28</x:v>
      </x:c>
      <x:c r="J11" s="28" t="str">
        <x:v>임시 대체음—금속 선내 발걸음으로 교체 권장</x:v>
      </x:c>
      <x:c r="K11" s="28" t="str">
        <x:v>https://github.com/madcamp-official/project-mystery/tree/main/Assets/_Project/Resources/SoundEffect</x:v>
      </x:c>
      <x:c r="L11" s="28" t="str">
        <x:v>Existing</x:v>
      </x:c>
    </x:row>
    <x:row r="12">
      <x:c r="A12" s="28" t="str">
        <x:v>AMB_WAVES</x:v>
      </x:c>
      <x:c r="B12" s="28" t="str">
        <x:v>SFX/AMB</x:v>
      </x:c>
      <x:c r="C12" s="28" t="str">
        <x:v>Sound_of_waves_on_the_beach_1.mp3</x:v>
      </x:c>
      <x:c r="D12" s="28" t="str">
        <x:v>SoundEffect/Sound_of_waves_on_the_beach_1</x:v>
      </x:c>
      <x:c r="E12" s="28" t="str">
        <x:v>항구·산책 갑판·야외 갑판의 파도 앰비언스</x:v>
      </x:c>
      <x:c r="F12" s="36" t="b">
        <x:v>1</x:v>
      </x:c>
      <x:c r="G12" s="28" t="str">
        <x:v>임시/검수</x:v>
      </x:c>
      <x:c r="H12" s="28" t="str">
        <x:v>기존 .meta 확인</x:v>
      </x:c>
      <x:c r="I12" s="28" t="str">
        <x:v>2026-07-25~28</x:v>
      </x:c>
      <x:c r="J12" s="28" t="str">
        <x:v>장소 의미 일치, 해변성 여부는 청음 검수 필요</x:v>
      </x:c>
      <x:c r="K12" s="28" t="str">
        <x:v>https://github.com/madcamp-official/project-mystery/tree/main/Assets/_Project/Resources/SoundEffect</x:v>
      </x:c>
      <x:c r="L12" s="28" t="str">
        <x:v>Existing</x:v>
      </x:c>
    </x:row>
    <x:row r="13">
      <x:c r="A13" s="28" t="str">
        <x:v>SFX_DAY_FLIP</x:v>
      </x:c>
      <x:c r="B13" s="28" t="str">
        <x:v>SFX/AMB</x:v>
      </x:c>
      <x:c r="C13" s="28" t="str">
        <x:v>The_sound_of_flipping_a_calendar.mp3</x:v>
      </x:c>
      <x:c r="D13" s="28" t="str">
        <x:v>SoundEffect/The_sound_of_flipping_a_calendar</x:v>
      </x:c>
      <x:c r="E13" s="28" t="str">
        <x:v>Day 전환 카드·날짜 변화</x:v>
      </x:c>
      <x:c r="F13" s="36" t="b">
        <x:v>0</x:v>
      </x:c>
      <x:c r="G13" s="28" t="str">
        <x:v>사용</x:v>
      </x:c>
      <x:c r="H13" s="28" t="str">
        <x:v>기존 .meta 확인</x:v>
      </x:c>
      <x:c r="I13" s="28" t="str">
        <x:v>2026-07-25~28</x:v>
      </x:c>
      <x:c r="J13" s="28" t="str">
        <x:v>직접 의미 일치</x:v>
      </x:c>
      <x:c r="K13" s="28" t="str">
        <x:v>https://github.com/madcamp-official/project-mystery/tree/main/Assets/_Project/Resources/SoundEffect</x:v>
      </x:c>
      <x:c r="L13" s="28" t="str">
        <x:v>Existing</x:v>
      </x:c>
    </x:row>
    <x:row r="14">
      <x:c r="A14" s="28" t="str">
        <x:v>SFX_NEWSPAPER</x:v>
      </x:c>
      <x:c r="B14" s="28" t="str">
        <x:v>SFX/AMB</x:v>
      </x:c>
      <x:c r="C14" s="28" t="str">
        <x:v>The_sound_of_flipping_newspaper.mp3</x:v>
      </x:c>
      <x:c r="D14" s="28" t="str">
        <x:v>SoundEffect/The_sound_of_flipping_newspaper</x:v>
      </x:c>
      <x:c r="E14" s="28" t="str">
        <x:v>기사 공개·수정 기사·신문/기사 화면 진입</x:v>
      </x:c>
      <x:c r="F14" s="36" t="b">
        <x:v>0</x:v>
      </x:c>
      <x:c r="G14" s="28" t="str">
        <x:v>사용</x:v>
      </x:c>
      <x:c r="H14" s="28" t="str">
        <x:v>기존 .meta 확인</x:v>
      </x:c>
      <x:c r="I14" s="28" t="str">
        <x:v>2026-07-25~28</x:v>
      </x:c>
      <x:c r="J14" s="28" t="str">
        <x:v>직접 의미 일치</x:v>
      </x:c>
      <x:c r="K14" s="28" t="str">
        <x:v>https://github.com/madcamp-official/project-mystery/tree/main/Assets/_Project/Resources/SoundEffect</x:v>
      </x:c>
      <x:c r="L14" s="28" t="str">
        <x:v>Existing</x:v>
      </x:c>
    </x:row>
    <x:row r="15">
      <x:c r="A15" s="28" t="str">
        <x:v>SFX_TYPEWRITER</x:v>
      </x:c>
      <x:c r="B15" s="28" t="str">
        <x:v>SFX/AMB</x:v>
      </x:c>
      <x:c r="C15" s="28" t="str">
        <x:v>Type_Writer.mp3</x:v>
      </x:c>
      <x:c r="D15" s="28" t="str">
        <x:v>SoundEffect/Type_Writer</x:v>
      </x:c>
      <x:c r="E15" s="28" t="str">
        <x:v>로그·기사·채팅·타임라인 텍스트가 순차 표시될 때</x:v>
      </x:c>
      <x:c r="F15" s="36" t="b">
        <x:v>0</x:v>
      </x:c>
      <x:c r="G15" s="28" t="str">
        <x:v>사용</x:v>
      </x:c>
      <x:c r="H15" s="28" t="str">
        <x:v>기존 .meta 확인</x:v>
      </x:c>
      <x:c r="I15" s="28" t="str">
        <x:v>2026-07-25~28</x:v>
      </x:c>
      <x:c r="J15" s="28" t="str">
        <x:v>직접 의미 일치</x:v>
      </x:c>
      <x:c r="K15" s="28" t="str">
        <x:v>https://github.com/madcamp-official/project-mystery/tree/main/Assets/_Project/Resources/SoundEffect</x:v>
      </x:c>
      <x:c r="L15" s="28" t="str">
        <x:v>Existing</x:v>
      </x:c>
    </x:row>
    <x:row r="16">
      <x:c r="A16" s="28" t="str">
        <x:v>SFX_UI_SUCCESS</x:v>
      </x:c>
      <x:c r="B16" s="28" t="str">
        <x:v>SFX/AMB</x:v>
      </x:c>
      <x:c r="C16" s="28" t="str">
        <x:v>Whoop_-_a_short_2.mp3</x:v>
      </x:c>
      <x:c r="D16" s="28" t="str">
        <x:v>SoundEffect/Whoop_-_a_short_2</x:v>
      </x:c>
      <x:c r="E16" s="28" t="str">
        <x:v>보조 목표 완료·퍼즐 완료의 짧은 성공 피드백</x:v>
      </x:c>
      <x:c r="F16" s="36" t="b">
        <x:v>0</x:v>
      </x:c>
      <x:c r="G16" s="28" t="str">
        <x:v>임시/검수</x:v>
      </x:c>
      <x:c r="H16" s="28" t="str">
        <x:v>기존 .meta 확인</x:v>
      </x:c>
      <x:c r="I16" s="28" t="str">
        <x:v>2026-07-25~28</x:v>
      </x:c>
      <x:c r="J16" s="28" t="str">
        <x:v>음색이 과도하게 경쾌할 수 있어 청음 검수 필요</x:v>
      </x:c>
      <x:c r="K16" s="28" t="str">
        <x:v>https://github.com/madcamp-official/project-mystery/tree/main/Assets/_Project/Resources/SoundEffect</x:v>
      </x:c>
      <x:c r="L16" s="28" t="str">
        <x:v>Existing</x:v>
      </x:c>
    </x:row>
    <x:row r="17">
      <x:c r="A17" s="28" t="str">
        <x:v>SFX_IMPACT</x:v>
      </x:c>
      <x:c r="B17" s="28" t="str">
        <x:v>SFX/AMB</x:v>
      </x:c>
      <x:c r="C17" s="28" t="str">
        <x:v>boom_sound_effect.mp3</x:v>
      </x:c>
      <x:c r="D17" s="28" t="str">
        <x:v>SoundEffect/boom_sound_effect</x:v>
      </x:c>
      <x:c r="E17" s="28" t="str">
        <x:v>시신 발견·계단 충돌·경보/파괴·배드 엔드의 저음 임팩트</x:v>
      </x:c>
      <x:c r="F17" s="36" t="b">
        <x:v>0</x:v>
      </x:c>
      <x:c r="G17" s="28" t="str">
        <x:v>사용</x:v>
      </x:c>
      <x:c r="H17" s="28" t="str">
        <x:v>기존 .meta 확인</x:v>
      </x:c>
      <x:c r="I17" s="28" t="str">
        <x:v>2026-07-25~28</x:v>
      </x:c>
      <x:c r="J17" s="28" t="str">
        <x:v>저음량·저주파 사용 권장</x:v>
      </x:c>
      <x:c r="K17" s="28" t="str">
        <x:v>https://github.com/madcamp-official/project-mystery/tree/main/Assets/_Project/Resources/SoundEffect</x:v>
      </x:c>
      <x:c r="L17" s="28" t="str">
        <x:v>Existing</x:v>
      </x:c>
    </x:row>
    <x:row r="18">
      <x:c r="A18" s="28" t="str">
        <x:v>SFX_DEDUCTION_CONFIRM</x:v>
      </x:c>
      <x:c r="B18" s="28" t="str">
        <x:v>SFX/AMB</x:v>
      </x:c>
      <x:c r="C18" s="28" t="str">
        <x:v>finger snap.mp3</x:v>
      </x:c>
      <x:c r="D18" s="28" t="str">
        <x:v>SoundEffect/finger snap</x:v>
      </x:c>
      <x:c r="E18" s="28" t="str">
        <x:v>모순 연결·결론 카드 확정·가설 잠금</x:v>
      </x:c>
      <x:c r="F18" s="36" t="b">
        <x:v>0</x:v>
      </x:c>
      <x:c r="G18" s="28" t="str">
        <x:v>사용</x:v>
      </x:c>
      <x:c r="H18" s="28" t="str">
        <x:v>기존 .meta 확인</x:v>
      </x:c>
      <x:c r="I18" s="28" t="str">
        <x:v>2026-07-25~28</x:v>
      </x:c>
      <x:c r="J18" s="28" t="str">
        <x:v>비다이에제틱 UI 피드백</x:v>
      </x:c>
      <x:c r="K18" s="28" t="str">
        <x:v>https://github.com/madcamp-official/project-mystery/tree/main/Assets/_Project/Resources/SoundEffect</x:v>
      </x:c>
      <x:c r="L18" s="28" t="str">
        <x:v>Existing</x:v>
      </x:c>
    </x:row>
    <x:row r="19">
      <x:c r="A19" s="28" t="str">
        <x:v>SFX_FOOTSTEP_INDOOR</x:v>
      </x:c>
      <x:c r="B19" s="28" t="str">
        <x:v>SFX/AMB</x:v>
      </x:c>
      <x:c r="C19" s="28" t="str">
        <x:v>shoe_footsteps_sound_2.mp3</x:v>
      </x:c>
      <x:c r="D19" s="28" t="str">
        <x:v>SoundEffect/shoe_footsteps_sound_2</x:v>
      </x:c>
      <x:c r="E19" s="28" t="str">
        <x:v>복도·계단·승선 통로·추적 장면 발걸음</x:v>
      </x:c>
      <x:c r="F19" s="36" t="b">
        <x:v>0</x:v>
      </x:c>
      <x:c r="G19" s="28" t="str">
        <x:v>사용</x:v>
      </x:c>
      <x:c r="H19" s="28" t="str">
        <x:v>기존 .meta 확인</x:v>
      </x:c>
      <x:c r="I19" s="28" t="str">
        <x:v>2026-07-25~28</x:v>
      </x:c>
      <x:c r="J19" s="28" t="str">
        <x:v>직접 의미 일치</x:v>
      </x:c>
      <x:c r="K19" s="28" t="str">
        <x:v>https://github.com/madcamp-official/project-mystery/tree/main/Assets/_Project/Resources/SoundEffect</x:v>
      </x:c>
      <x:c r="L19" s="28" t="str">
        <x:v>Existing</x:v>
      </x:c>
    </x:row>
    <x:row r="20">
      <x:c r="A20" s="28" t="str">
        <x:v>SFX_METAL_CLIP_TEMP</x:v>
      </x:c>
      <x:c r="B20" s="28" t="str">
        <x:v>SFX/AMB</x:v>
      </x:c>
      <x:c r="C20" s="28" t="str">
        <x:v>sound_of_clipping_nails.mp3</x:v>
      </x:c>
      <x:c r="D20" s="28" t="str">
        <x:v>SoundEffect/sound_of_clipping_nails</x:v>
      </x:c>
      <x:c r="E20" s="28" t="str">
        <x:v>섬유 채취·봉인 절단·케이블 절단의 임시 금속 클릭/절단음</x:v>
      </x:c>
      <x:c r="F20" s="36" t="b">
        <x:v>0</x:v>
      </x:c>
      <x:c r="G20" s="28" t="str">
        <x:v>임시/검수</x:v>
      </x:c>
      <x:c r="H20" s="28" t="str">
        <x:v>기존 .meta 확인</x:v>
      </x:c>
      <x:c r="I20" s="28" t="str">
        <x:v>2026-07-25~28</x:v>
      </x:c>
      <x:c r="J20" s="28" t="str">
        <x:v>임시 대체음—실제 음색 검수 필수</x:v>
      </x:c>
      <x:c r="K20" s="28" t="str">
        <x:v>https://github.com/madcamp-official/project-mystery/tree/main/Assets/_Project/Resources/SoundEffect</x:v>
      </x:c>
      <x:c r="L20" s="28" t="str">
        <x:v>Existing</x:v>
      </x:c>
    </x:row>
    <x:row r="21">
      <x:c r="A21" s="28" t="str">
        <x:v>SFX_IRON_DOOR_KNOCK</x:v>
      </x:c>
      <x:c r="B21" s="28" t="str">
        <x:v>SFX/AMB</x:v>
      </x:c>
      <x:c r="C21" s="28" t="str">
        <x:v>The_sound_of_an_iron_door_knocking.mp3</x:v>
      </x:c>
      <x:c r="D21" s="28" t="str">
        <x:v>SoundEffect/The_sound_of_an_iron_door_knocking</x:v>
      </x:c>
      <x:c r="E21" s="28" t="str">
        <x:v>제한구역 철문 조사, 잠긴 금고·밸러스트·서비스 구역의 접근 실패/노크</x:v>
      </x:c>
      <x:c r="F21" s="36" t="b">
        <x:v>0</x:v>
      </x:c>
      <x:c r="G21" s="28" t="str">
        <x:v>신규/사용</x:v>
      </x:c>
      <x:c r="H21" s="28" t="str">
        <x:v>커밋에서 .meta 미확인</x:v>
      </x:c>
      <x:c r="I21" s="28" t="str">
        <x:v>2026-07-29</x:v>
      </x:c>
      <x:c r="J21" s="28" t="str">
        <x:v>2026-07-29 신규. 잠금 실패 피드백에만 사용하고 일반 객실문에는 사용하지 않는다.</x:v>
      </x:c>
      <x:c r="K21" s="28" t="str">
        <x:v>https://github.com/madcamp-official/project-mystery/commit/4287b0b0b97a28d7655b3d94fd9723756baba9a8</x:v>
      </x:c>
      <x:c r="L21" s="28" t="str">
        <x:v>Mapped</x:v>
      </x:c>
    </x:row>
    <x:row r="22">
      <x:c r="A22" s="28" t="str">
        <x:v>SFX_IRON_DOOR_TOGGLE</x:v>
      </x:c>
      <x:c r="B22" s="28" t="str">
        <x:v>SFX/AMB</x:v>
      </x:c>
      <x:c r="C22" s="28" t="str">
        <x:v>The_sound_of_an_iron_door_opening_and_closing.mp3</x:v>
      </x:c>
      <x:c r="D22" s="28" t="str">
        <x:v>SoundEffect/The_sound_of_an_iron_door_opening_and_closing</x:v>
      </x:c>
      <x:c r="E22" s="28" t="str">
        <x:v>금고·기관·밸러스트·서비스 레일의 철문 개폐</x:v>
      </x:c>
      <x:c r="F22" s="36" t="b">
        <x:v>0</x:v>
      </x:c>
      <x:c r="G22" s="28" t="str">
        <x:v>신규/사용</x:v>
      </x:c>
      <x:c r="H22" s="28" t="str">
        <x:v>커밋에서 .meta 미확인</x:v>
      </x:c>
      <x:c r="I22" s="28" t="str">
        <x:v>2026-07-29</x:v>
      </x:c>
      <x:c r="J22" s="28" t="str">
        <x:v>열기와 닫기가 한 파일에 포함된 것으로 보이므로 한쪽 동작만 필요한 장면은 편집본 제작 권장.</x:v>
      </x:c>
      <x:c r="K22" s="28" t="str">
        <x:v>https://github.com/madcamp-official/project-mystery/commit/4287b0b0b97a28d7655b3d94fd9723756baba9a8</x:v>
      </x:c>
      <x:c r="L22" s="28" t="str">
        <x:v>Mapped</x:v>
      </x:c>
    </x:row>
    <x:row r="23">
      <x:c r="A23" s="28" t="str">
        <x:v>AMB_BOAT_ENGINE</x:v>
      </x:c>
      <x:c r="B23" s="28" t="str">
        <x:v>SFX/AMB</x:v>
      </x:c>
      <x:c r="C23" s="28" t="str">
        <x:v>boat_engine_sound.mp3</x:v>
      </x:c>
      <x:c r="D23" s="28" t="str">
        <x:v>SoundEffect/boat_engine_sound</x:v>
      </x:c>
      <x:c r="E23" s="28" t="str">
        <x:v>항구 정박·출항·브리지·기관 제어실·귀항의 선박 엔진 레이어</x:v>
      </x:c>
      <x:c r="F23" s="36" t="b">
        <x:v>1</x:v>
      </x:c>
      <x:c r="G23" s="28" t="str">
        <x:v>신규/사용</x:v>
      </x:c>
      <x:c r="H23" s="28" t="str">
        <x:v>커밋에서 .meta 미확인</x:v>
      </x:c>
      <x:c r="I23" s="28" t="str">
        <x:v>2026-07-29</x:v>
      </x:c>
      <x:c r="J23" s="28" t="str">
        <x:v>장소 앰비언스용 루프 후보. 실제 루프 이음새와 저역량은 청음 검수한다.</x:v>
      </x:c>
      <x:c r="K23" s="28" t="str">
        <x:v>https://github.com/madcamp-official/project-mystery/commit/4287b0b0b97a28d7655b3d94fd9723756baba9a8</x:v>
      </x:c>
      <x:c r="L23" s="28" t="str">
        <x:v>Mapped</x:v>
      </x:c>
    </x:row>
    <x:row r="24">
      <x:c r="A24" s="28" t="str">
        <x:v>AMB_FACTORY_FAN</x:v>
      </x:c>
      <x:c r="B24" s="28" t="str">
        <x:v>SFX/AMB</x:v>
      </x:c>
      <x:c r="C24" s="28" t="str">
        <x:v>factory_exhaust_fan_sound.mp3</x:v>
      </x:c>
      <x:c r="D24" s="28" t="str">
        <x:v>SoundEffect/factory_exhaust_fan_sound</x:v>
      </x:c>
      <x:c r="E24" s="28" t="str">
        <x:v>기관 제어실·서비스 레일·밸러스트·발전기실의 환기/기계 배경음</x:v>
      </x:c>
      <x:c r="F24" s="36" t="b">
        <x:v>1</x:v>
      </x:c>
      <x:c r="G24" s="28" t="str">
        <x:v>신규/사용</x:v>
      </x:c>
      <x:c r="H24" s="28" t="str">
        <x:v>커밋에서 .meta 미확인</x:v>
      </x:c>
      <x:c r="I24" s="28" t="str">
        <x:v>2026-07-29</x:v>
      </x:c>
      <x:c r="J24" s="28" t="str">
        <x:v>기계 구역 공통 루프. 보안실·의무실에는 음색이 맞을 때만 매우 낮게 사용한다.</x:v>
      </x:c>
      <x:c r="K24" s="28" t="str">
        <x:v>https://github.com/madcamp-official/project-mystery/commit/4287b0b0b97a28d7655b3d94fd9723756baba9a8</x:v>
      </x:c>
      <x:c r="L24" s="28" t="str">
        <x:v>Mapped</x:v>
      </x:c>
    </x:row>
    <x:row r="25">
      <x:c r="A25" s="28" t="str">
        <x:v>AMB_WIND</x:v>
      </x:c>
      <x:c r="B25" s="28" t="str">
        <x:v>SFX/AMB</x:v>
      </x:c>
      <x:c r="C25" s="28" t="str">
        <x:v>wind_noise.mp3</x:v>
      </x:c>
      <x:c r="D25" s="28" t="str">
        <x:v>SoundEffect/wind_noise</x:v>
      </x:c>
      <x:c r="E25" s="28" t="str">
        <x:v>항구·산책 갑판·야외 갑판의 바람 레이어</x:v>
      </x:c>
      <x:c r="F25" s="36" t="b">
        <x:v>1</x:v>
      </x:c>
      <x:c r="G25" s="28" t="str">
        <x:v>신규/사용</x:v>
      </x:c>
      <x:c r="H25" s="28" t="str">
        <x:v>커밋에서 .meta 미확인</x:v>
      </x:c>
      <x:c r="I25" s="28" t="str">
        <x:v>2026-07-29</x:v>
      </x:c>
      <x:c r="J25" s="28" t="str">
        <x:v>파도 소리와 2레이어로 사용. 대화 중에는 파도보다 더 크게 duck한다.</x:v>
      </x:c>
      <x:c r="K25" s="28" t="str">
        <x:v>https://github.com/madcamp-official/project-mystery/commit/4287b0b0b97a28d7655b3d94fd9723756baba9a8</x:v>
      </x:c>
      <x:c r="L25" s="28" t="str">
        <x:v>Mapped</x:v>
      </x:c>
    </x:row>
  </x:sheetData>
  <x:conditionalFormatting sqref="G2:G25">
    <x:cfRule type="expression" dxfId="0" priority="1">
      <x:formula>LEFT(G2,2)="신규"</x:formula>
    </x:cfRule>
  </x:conditionalFormatting>
  <x:conditionalFormatting sqref="H2:H25">
    <x:cfRule type="expression" dxfId="1" priority="2">
      <x:formula>ISNUMBER(SEARCH("미확인",H2))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be7ebae3d64c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4" hidden="0" customWidth="1"/>
    <x:col min="4" max="4" width="62" hidden="0" customWidth="1"/>
    <x:col min="5" max="5" width="58" hidden="0" customWidth="1"/>
    <x:col min="6" max="6" width="15" hidden="0" customWidth="1"/>
    <x:col min="7" max="7" width="58" hidden="0" customWidth="1"/>
    <x:col min="8" max="8" width="17" hidden="0" customWidth="1"/>
    <x:col min="9" max="9" width="14" hidden="0" customWidth="1"/>
    <x:col min="10" max="10" width="78" hidden="0" customWidth="1"/>
  </x:cols>
  <x:sheetData>
    <x:row r="1" ht="30" customHeight="1">
      <x:c r="A1" s="20" t="str">
        <x:v>Canonical_Location</x:v>
      </x:c>
      <x:c r="B1" s="20" t="str">
        <x:v>Display_Name</x:v>
      </x:c>
      <x:c r="C1" s="20" t="str">
        <x:v>Narrative_Aliases</x:v>
      </x:c>
      <x:c r="D1" s="20" t="str">
        <x:v>Default_BGM</x:v>
      </x:c>
      <x:c r="E1" s="20" t="str">
        <x:v>Primary_Ambience</x:v>
      </x:c>
      <x:c r="F1" s="20" t="str">
        <x:v>Primary_Volume</x:v>
      </x:c>
      <x:c r="G1" s="20" t="str">
        <x:v>Secondary_Ambience</x:v>
      </x:c>
      <x:c r="H1" s="20" t="str">
        <x:v>Secondary_Volume</x:v>
      </x:c>
      <x:c r="I1" s="20" t="str">
        <x:v>Crossfade_Sec</x:v>
      </x:c>
      <x:c r="J1" s="20" t="str">
        <x:v>Implementation_Note</x:v>
      </x:c>
    </x:row>
    <x:row r="2">
      <x:c r="A2" s="28" t="str">
        <x:v>PORT</x:v>
      </x:c>
      <x:c r="B2" s="28" t="str">
        <x:v>항구</x:v>
      </x:c>
      <x:c r="C2" s="28" t="str">
        <x:v>PORT</x:v>
      </x:c>
      <x:c r="D2" s="28" t="str">
        <x:v>BGM/Passage_to_Port</x:v>
      </x:c>
      <x:c r="E2" s="28" t="str">
        <x:v>SoundEffect/Sound_of_waves_on_the_beach_1</x:v>
      </x:c>
      <x:c r="F2" s="40" t="n">
        <x:v>0.4</x:v>
      </x:c>
      <x:c r="G2" s="40" t="str">
        <x:v>SoundEffect/wind_noise</x:v>
      </x:c>
      <x:c r="H2" s="40" t="n">
        <x:v>0.28</x:v>
      </x:c>
      <x:c r="I2" s="40" t="n">
        <x:v>2</x:v>
      </x:c>
      <x:c r="J2" s="28" t="str">
        <x:v>야외 출발/귀항. 군중 소리는 필요 시 Cafe_buzzing_sound를 낮게 추가. 출항·입항 연출 중 boat_engine_sound를 조건부 3번째 이벤트 레이어로 재생.</x:v>
      </x:c>
    </x:row>
    <x:row r="3">
      <x:c r="A3" s="28" t="str">
        <x:v>GANGWAY</x:v>
      </x:c>
      <x:c r="B3" s="28" t="str">
        <x:v>승선 통로</x:v>
      </x:c>
      <x:c r="C3" s="28" t="str">
        <x:v>GANGWAY</x:v>
      </x:c>
      <x:c r="D3" s="28" t="str">
        <x:v>BGM/Passage_to_Port</x:v>
      </x:c>
      <x:c r="E3" s="28" t="str">
        <x:v>SoundEffect/boat_engine_sound</x:v>
      </x:c>
      <x:c r="F3" s="40" t="n">
        <x:v>0.28</x:v>
      </x:c>
      <x:c r="G3" s="40" t="str">
        <x:v>SoundEffect/Cafe_buzzing_sound</x:v>
      </x:c>
      <x:c r="H3" s="40" t="n">
        <x:v>0.24</x:v>
      </x:c>
      <x:c r="I3" s="40" t="n">
        <x:v>1.5</x:v>
      </x:c>
      <x:c r="J3" s="28" t="str">
        <x:v>실내외 경계. 발걸음은 이벤트 SFX로 분리. 승선 통로의 실내외 경계. 바람은 PORT에서 이어지지 않도록 페이드.</x:v>
      </x:c>
    </x:row>
    <x:row r="4">
      <x:c r="A4" s="28" t="str">
        <x:v>RICHARD_SUITE</x:v>
      </x:c>
      <x:c r="B4" s="28" t="str">
        <x:v>리처드 스위트룸</x:v>
      </x:c>
      <x:c r="C4" s="28" t="str">
        <x:v>DECK10_SUITE</x:v>
      </x:c>
      <x:c r="D4" s="28" t="str">
        <x:v>BGM/The_Mahogany_Ledger(Theme_Richard Hawthorne_Evelyn_Shaw)</x:v>
      </x:c>
      <x:c r="E4" s="28" t="str"/>
      <x:c r="F4" s="40" t="n">
        <x:v>0</x:v>
      </x:c>
      <x:c r="G4" s="40" t="str"/>
      <x:c r="H4" s="40" t="n">
        <x:v>0</x:v>
      </x:c>
      <x:c r="I4" s="40" t="n">
        <x:v>2</x:v>
      </x:c>
      <x:c r="J4" s="28" t="str">
        <x:v>Richard/Evelyn 권력·은폐 테마.</x:v>
      </x:c>
    </x:row>
    <x:row r="5">
      <x:c r="A5" s="28" t="str">
        <x:v>VIP_LOUNGE</x:v>
      </x:c>
      <x:c r="B5" s="28" t="str">
        <x:v>귀빈 라운지</x:v>
      </x:c>
      <x:c r="C5" s="28" t="str">
        <x:v>CABIN_CLAIRE</x:v>
      </x:c>
      <x:c r="D5" s="28" t="str">
        <x:v>BGM/Midnight_Latitude(Theme_Adrian_Vale)</x:v>
      </x:c>
      <x:c r="E5" s="28" t="str"/>
      <x:c r="F5" s="40" t="n">
        <x:v>0</x:v>
      </x:c>
      <x:c r="G5" s="40" t="str"/>
      <x:c r="H5" s="40" t="n">
        <x:v>0</x:v>
      </x:c>
      <x:c r="I5" s="40" t="n">
        <x:v>2</x:v>
      </x:c>
      <x:c r="J5" s="28" t="str">
        <x:v>Claire 객실 사건은 씬 오버라이드로 The_Horizon_Room 사용.</x:v>
      </x:c>
    </x:row>
    <x:row r="6">
      <x:c r="A6" s="28" t="str">
        <x:v>OPEN_DECK</x:v>
      </x:c>
      <x:c r="B6" s="28" t="str">
        <x:v>야외 갑판</x:v>
      </x:c>
      <x:c r="C6" s="28" t="str">
        <x:v>STERN</x:v>
      </x:c>
      <x:c r="D6" s="28" t="str">
        <x:v>BGM/The_Long_Watch(Theme_Thomas_Reed)</x:v>
      </x:c>
      <x:c r="E6" s="28" t="str">
        <x:v>SoundEffect/wind_noise</x:v>
      </x:c>
      <x:c r="F6" s="40" t="n">
        <x:v>0.43</x:v>
      </x:c>
      <x:c r="G6" s="40" t="str">
        <x:v>SoundEffect/Sound_of_waves_on_the_beach_1</x:v>
      </x:c>
      <x:c r="H6" s="40" t="n">
        <x:v>0.34</x:v>
      </x:c>
      <x:c r="I6" s="40" t="n">
        <x:v>2.5</x:v>
      </x:c>
      <x:c r="J6" s="28" t="str">
        <x:v>바람 전용 리소스가 없어 파도만 사용. 대화 중 바람 -6dB, 파도 -3dB.</x:v>
      </x:c>
    </x:row>
    <x:row r="7">
      <x:c r="A7" s="28" t="str">
        <x:v>BALLROOM</x:v>
      </x:c>
      <x:c r="B7" s="28" t="str">
        <x:v>볼룸</x:v>
      </x:c>
      <x:c r="C7" s="28" t="str">
        <x:v>DECK9_BALLROOM</x:v>
      </x:c>
      <x:c r="D7" s="28" t="str">
        <x:v>BGM/Last_Waltz_on_the_Elysium</x:v>
      </x:c>
      <x:c r="E7" s="28" t="str">
        <x:v>SoundEffect/Cafe_buzzing_sound</x:v>
      </x:c>
      <x:c r="F7" s="40" t="n">
        <x:v>0.34</x:v>
      </x:c>
      <x:c r="G7" s="40" t="str"/>
      <x:c r="H7" s="40" t="n">
        <x:v>0</x:v>
      </x:c>
      <x:c r="I7" s="40" t="n">
        <x:v>2</x:v>
      </x:c>
      <x:c r="J7" s="28" t="str">
        <x:v>파티 장면. 수상한 호출은 씬 오버라이드.</x:v>
      </x:c>
    </x:row>
    <x:row r="8">
      <x:c r="A8" s="28" t="str">
        <x:v>DINING</x:v>
      </x:c>
      <x:c r="B8" s="28" t="str">
        <x:v>식당</x:v>
      </x:c>
      <x:c r="C8" s="28" t="str">
        <x:v>DECK9_DINING</x:v>
      </x:c>
      <x:c r="D8" s="28" t="str">
        <x:v>BGM/Last_Waltz_on_the_Elysium</x:v>
      </x:c>
      <x:c r="E8" s="28" t="str">
        <x:v>SoundEffect/Cafe_buzzing_sound</x:v>
      </x:c>
      <x:c r="F8" s="40" t="n">
        <x:v>0.3</x:v>
      </x:c>
      <x:c r="G8" s="40" t="str"/>
      <x:c r="H8" s="40" t="n">
        <x:v>0</x:v>
      </x:c>
      <x:c r="I8" s="40" t="n">
        <x:v>2</x:v>
      </x:c>
      <x:c r="J8" s="28" t="str">
        <x:v>언쟁 시 Mahogany Ledger로 조건부 전환.</x:v>
      </x:c>
    </x:row>
    <x:row r="9">
      <x:c r="A9" s="28" t="str">
        <x:v>PROMENADE</x:v>
      </x:c>
      <x:c r="B9" s="28" t="str">
        <x:v>산책 갑판</x:v>
      </x:c>
      <x:c r="C9" s="28" t="str">
        <x:v>PROMENADE</x:v>
      </x:c>
      <x:c r="D9" s="28" t="str">
        <x:v>BGM/Midnight_Latitude(Theme_Adrian_Vale)</x:v>
      </x:c>
      <x:c r="E9" s="28" t="str">
        <x:v>SoundEffect/wind_noise</x:v>
      </x:c>
      <x:c r="F9" s="40" t="n">
        <x:v>0.36</x:v>
      </x:c>
      <x:c r="G9" s="40" t="str">
        <x:v>SoundEffect/Sound_of_waves_on_the_beach_1</x:v>
      </x:c>
      <x:c r="H9" s="40" t="n">
        <x:v>0.34</x:v>
      </x:c>
      <x:c r="I9" s="40" t="n">
        <x:v>2</x:v>
      </x:c>
      <x:c r="J9" s="28" t="str">
        <x:v>야간 조사·1:1 대화. 야간 1:1 대화에서는 바람을 우선 duck.</x:v>
      </x:c>
    </x:row>
    <x:row r="10">
      <x:c r="A10" s="28" t="str">
        <x:v>HORIZON</x:v>
      </x:c>
      <x:c r="B10" s="28" t="str">
        <x:v>호라이즌 룸</x:v>
      </x:c>
      <x:c r="C10" s="28" t="str">
        <x:v>HORIZON</x:v>
      </x:c>
      <x:c r="D10" s="28" t="str">
        <x:v>BGM/The_Horizon_Room</x:v>
      </x:c>
      <x:c r="E10" s="28" t="str"/>
      <x:c r="F10" s="40" t="n">
        <x:v>0</x:v>
      </x:c>
      <x:c r="G10" s="40" t="str"/>
      <x:c r="H10" s="40" t="n">
        <x:v>0</x:v>
      </x:c>
      <x:c r="I10" s="40" t="n">
        <x:v>2.2</x:v>
      </x:c>
      <x:c r="J10" s="28" t="str">
        <x:v>동일 장소라도 발견/퍼즐/최종 심문 상태에 따라 볼륨과 테마를 재평가.</x:v>
      </x:c>
    </x:row>
    <x:row r="11">
      <x:c r="A11" s="28" t="str">
        <x:v>ATRIUM</x:v>
      </x:c>
      <x:c r="B11" s="28" t="str">
        <x:v>아트리움</x:v>
      </x:c>
      <x:c r="C11" s="28" t="str">
        <x:v>DECK8_ATRIUM</x:v>
      </x:c>
      <x:c r="D11" s="28" t="str">
        <x:v>BGM/Passage_to_Port</x:v>
      </x:c>
      <x:c r="E11" s="28" t="str">
        <x:v>SoundEffect/Cafe_buzzing_sound</x:v>
      </x:c>
      <x:c r="F11" s="40" t="n">
        <x:v>0.34</x:v>
      </x:c>
      <x:c r="G11" s="40" t="str"/>
      <x:c r="H11" s="40" t="n">
        <x:v>0</x:v>
      </x:c>
      <x:c r="I11" s="40" t="n">
        <x:v>2</x:v>
      </x:c>
      <x:c r="J11" s="28" t="str">
        <x:v>승객 소개와 일반 자유 탐색.</x:v>
      </x:c>
    </x:row>
    <x:row r="12">
      <x:c r="A12" s="28" t="str">
        <x:v>NEWS_LOUNGE</x:v>
      </x:c>
      <x:c r="B12" s="28" t="str">
        <x:v>뉴스 라운지</x:v>
      </x:c>
      <x:c r="C12" s="28" t="str">
        <x:v>CABIN_DANIEL; EVIDENCE_BOARD</x:v>
      </x:c>
      <x:c r="D12" s="28" t="str">
        <x:v>BGM/Midnight_Latitude(Theme_Adrian_Vale)</x:v>
      </x:c>
      <x:c r="E12" s="28" t="str">
        <x:v>SoundEffect/Cafe_buzzing_sound</x:v>
      </x:c>
      <x:c r="F12" s="40" t="n">
        <x:v>0.22</x:v>
      </x:c>
      <x:c r="G12" s="40" t="str"/>
      <x:c r="H12" s="40" t="n">
        <x:v>0</x:v>
      </x:c>
      <x:c r="I12" s="40" t="n">
        <x:v>2</x:v>
      </x:c>
      <x:c r="J12" s="28" t="str">
        <x:v>기자 객실/증거 보드 별칭은 씬 상태로 분리.</x:v>
      </x:c>
    </x:row>
    <x:row r="13">
      <x:c r="A13" s="28" t="str">
        <x:v>SECURITY</x:v>
      </x:c>
      <x:c r="B13" s="28" t="str">
        <x:v>보안실</x:v>
      </x:c>
      <x:c r="C13" s="28" t="str">
        <x:v>SECURITY; INTERVIEW</x:v>
      </x:c>
      <x:c r="D13" s="28" t="str">
        <x:v>BGM/Midnight_Latitude(Theme_Adrian_Vale)</x:v>
      </x:c>
      <x:c r="E13" s="28" t="str"/>
      <x:c r="F13" s="40" t="n">
        <x:v>0</x:v>
      </x:c>
      <x:c r="G13" s="40" t="str"/>
      <x:c r="H13" s="40" t="n">
        <x:v>0</x:v>
      </x:c>
      <x:c r="I13" s="40" t="n">
        <x:v>1.8</x:v>
      </x:c>
      <x:c r="J13" s="28" t="str">
        <x:v>로그·심문 중심.</x:v>
      </x:c>
    </x:row>
    <x:row r="14">
      <x:c r="A14" s="28" t="str">
        <x:v>SERVICE_RAIL</x:v>
      </x:c>
      <x:c r="B14" s="28" t="str">
        <x:v>서비스 레일</x:v>
      </x:c>
      <x:c r="C14" s="28" t="str">
        <x:v>SERVICE_RAIL</x:v>
      </x:c>
      <x:c r="D14" s="28" t="str">
        <x:v>BGM/The_Horizon_Room</x:v>
      </x:c>
      <x:c r="E14" s="28" t="str">
        <x:v>SoundEffect/factory_exhaust_fan_sound</x:v>
      </x:c>
      <x:c r="F14" s="40" t="n">
        <x:v>0.3</x:v>
      </x:c>
      <x:c r="G14" s="40" t="str"/>
      <x:c r="H14" s="40" t="n">
        <x:v>0</x:v>
      </x:c>
      <x:c r="I14" s="40" t="n">
        <x:v>1.8</x:v>
      </x:c>
      <x:c r="J14" s="28" t="str">
        <x:v>기계 앰비언스 리소스 추가 필요. 레일 모터 전용음은 여전히 없음. 문 개폐는 이벤트 SFX.</x:v>
      </x:c>
    </x:row>
    <x:row r="15">
      <x:c r="A15" s="28" t="str">
        <x:v>MEDBAY</x:v>
      </x:c>
      <x:c r="B15" s="28" t="str">
        <x:v>의무실</x:v>
      </x:c>
      <x:c r="C15" s="28" t="str">
        <x:v>MEDBAY; FORENSIC</x:v>
      </x:c>
      <x:c r="D15" s="28" t="str">
        <x:v>BGM/Midnight_Latitude(Theme_Adrian_Vale)</x:v>
      </x:c>
      <x:c r="E15" s="28" t="str"/>
      <x:c r="F15" s="40" t="n">
        <x:v>0</x:v>
      </x:c>
      <x:c r="G15" s="40" t="str"/>
      <x:c r="H15" s="40" t="n">
        <x:v>0</x:v>
      </x:c>
      <x:c r="I15" s="40" t="n">
        <x:v>1.8</x:v>
      </x:c>
      <x:c r="J15" s="28" t="str">
        <x:v>의료/법의학 앰비언스 리소스 추가 필요.</x:v>
      </x:c>
    </x:row>
    <x:row r="16">
      <x:c r="A16" s="28" t="str">
        <x:v>BALLAST_CONTROL_ANNEX</x:v>
      </x:c>
      <x:c r="B16" s="28" t="str">
        <x:v>밸러스트 제어 별실</x:v>
      </x:c>
      <x:c r="C16" s="28" t="str">
        <x:v>BALLAST</x:v>
      </x:c>
      <x:c r="D16" s="28" t="str">
        <x:v>BGM/The_Horizon_Room</x:v>
      </x:c>
      <x:c r="E16" s="28" t="str">
        <x:v>SoundEffect/factory_exhaust_fan_sound</x:v>
      </x:c>
      <x:c r="F16" s="40" t="n">
        <x:v>0.34</x:v>
      </x:c>
      <x:c r="G16" s="40" t="str">
        <x:v>SoundEffect/boat_engine_sound</x:v>
      </x:c>
      <x:c r="H16" s="40" t="n">
        <x:v>0.12</x:v>
      </x:c>
      <x:c r="I16" s="40" t="n">
        <x:v>1.6</x:v>
      </x:c>
      <x:c r="J16" s="28" t="str">
        <x:v>실제 범행 현장 확인 시 Evelyn 테마로 오버라이드. 실제 범행 현장. 저역 과포화 방지를 위해 엔진은 낮게.</x:v>
      </x:c>
    </x:row>
    <x:row r="17">
      <x:c r="A17" s="28" t="str">
        <x:v>ENGINE_CONTROL</x:v>
      </x:c>
      <x:c r="B17" s="28" t="str">
        <x:v>기관 제어실</x:v>
      </x:c>
      <x:c r="C17" s="28" t="str">
        <x:v>ENGINE_CTRL; BRIDGE</x:v>
      </x:c>
      <x:c r="D17" s="28" t="str">
        <x:v>BGM/The_Long_Watch(Theme_Thomas_Reed)</x:v>
      </x:c>
      <x:c r="E17" s="28" t="str">
        <x:v>SoundEffect/factory_exhaust_fan_sound</x:v>
      </x:c>
      <x:c r="F17" s="40" t="n">
        <x:v>0.32</x:v>
      </x:c>
      <x:c r="G17" s="40" t="str">
        <x:v>SoundEffect/boat_engine_sound</x:v>
      </x:c>
      <x:c r="H17" s="40" t="n">
        <x:v>0.22</x:v>
      </x:c>
      <x:c r="I17" s="40" t="n">
        <x:v>2</x:v>
      </x:c>
      <x:c r="J17" s="28" t="str">
        <x:v>기관/브리지 기계 앰비언스 리소스 추가 필요. 브리지 별칭에서는 엔진을 낮추고 팬을 더 낮게 조정 가능.</x:v>
      </x:c>
    </x:row>
    <x:row r="18">
      <x:c r="A18" s="28" t="str">
        <x:v>CREW_STAIRS</x:v>
      </x:c>
      <x:c r="B18" s="28" t="str">
        <x:v>승무원 계단</x:v>
      </x:c>
      <x:c r="C18" s="28" t="str">
        <x:v>STAIR_B; SERVICE7</x:v>
      </x:c>
      <x:c r="D18" s="28" t="str">
        <x:v>BGM/Midnight_Latitude(Theme_Adrian_Vale)</x:v>
      </x:c>
      <x:c r="E18" s="28" t="str">
        <x:v>SoundEffect/factory_exhaust_fan_sound</x:v>
      </x:c>
      <x:c r="F18" s="40" t="n">
        <x:v>0.12</x:v>
      </x:c>
      <x:c r="G18" s="40" t="str"/>
      <x:c r="H18" s="40" t="n">
        <x:v>0</x:v>
      </x:c>
      <x:c r="I18" s="40" t="n">
        <x:v>1.2</x:v>
      </x:c>
      <x:c r="J18" s="28" t="str">
        <x:v>추적/사고 장면은 발걸음·충돌 이벤트 SFX 사용. 서비스 구역 환기음의 원거리 누설로만 사용.</x:v>
      </x:c>
    </x:row>
    <x:row r="19">
      <x:c r="A19" s="28" t="str">
        <x:v>VAULT</x:v>
      </x:c>
      <x:c r="B19" s="28" t="str">
        <x:v>금고실</x:v>
      </x:c>
      <x:c r="C19" s="28" t="str">
        <x:v>VAULT</x:v>
      </x:c>
      <x:c r="D19" s="28" t="str">
        <x:v>BGM/The_Mahogany_Ledger(Theme_Richard Hawthorne_Evelyn_Shaw)</x:v>
      </x:c>
      <x:c r="E19" s="28" t="str"/>
      <x:c r="F19" s="40" t="n">
        <x:v>0</x:v>
      </x:c>
      <x:c r="G19" s="40" t="str"/>
      <x:c r="H19" s="40" t="n">
        <x:v>0</x:v>
      </x:c>
      <x:c r="I19" s="40" t="n">
        <x:v>1.8</x:v>
      </x:c>
      <x:c r="J19" s="28" t="str">
        <x:v>접근 로그·모듈·파괴 시도.</x:v>
      </x:c>
    </x:row>
    <x:row r="20">
      <x:c r="A20" s="28" t="str">
        <x:v>ARCHIVE</x:v>
      </x:c>
      <x:c r="B20" s="28" t="str">
        <x:v>기록 보관실</x:v>
      </x:c>
      <x:c r="C20" s="28" t="str">
        <x:v>ARCHIVE</x:v>
      </x:c>
      <x:c r="D20" s="28" t="str">
        <x:v>BGM/The_Long_Watch(Theme_Thomas_Reed)</x:v>
      </x:c>
      <x:c r="E20" s="28" t="str"/>
      <x:c r="F20" s="40" t="n">
        <x:v>0</x:v>
      </x:c>
      <x:c r="G20" s="40" t="str"/>
      <x:c r="H20" s="40" t="n">
        <x:v>0</x:v>
      </x:c>
      <x:c r="I20" s="40" t="n">
        <x:v>2</x:v>
      </x:c>
      <x:c r="J20" s="28" t="str">
        <x:v>Orpheus 음성 복원과 과거 진실.</x:v>
      </x:c>
    </x:row>
    <x:row r="21">
      <x:c r="A21" s="28" t="str">
        <x:v>LAUNDRY</x:v>
      </x:c>
      <x:c r="B21" s="28" t="str">
        <x:v>세탁실</x:v>
      </x:c>
      <x:c r="C21" s="28" t="str">
        <x:v>LAUNDRY</x:v>
      </x:c>
      <x:c r="D21" s="28" t="str">
        <x:v>BGM/Midnight_Latitude(Theme_Adrian_Vale)</x:v>
      </x:c>
      <x:c r="E21" s="28" t="str"/>
      <x:c r="F21" s="40" t="n">
        <x:v>0</x:v>
      </x:c>
      <x:c r="G21" s="40" t="str"/>
      <x:c r="H21" s="40" t="n">
        <x:v>0</x:v>
      </x:c>
      <x:c r="I21" s="40" t="n">
        <x:v>2</x:v>
      </x:c>
      <x:c r="J21" s="28" t="str">
        <x:v>현재 41개 핵심 씬에는 직접 배정되지 않음.</x:v>
      </x:c>
    </x:row>
    <x:row r="22">
      <x:c r="A22" s="28" t="str">
        <x:v>SERVICE_HUB</x:v>
      </x:c>
      <x:c r="B22" s="28" t="str">
        <x:v>서비스 허브</x:v>
      </x:c>
      <x:c r="C22" s="28" t="str">
        <x:v>SERVICE_HUB</x:v>
      </x:c>
      <x:c r="D22" s="28" t="str">
        <x:v>BGM/Midnight_Latitude(Theme_Adrian_Vale)</x:v>
      </x:c>
      <x:c r="E22" s="28" t="str"/>
      <x:c r="F22" s="40" t="n">
        <x:v>0</x:v>
      </x:c>
      <x:c r="G22" s="40" t="str"/>
      <x:c r="H22" s="40" t="n">
        <x:v>0</x:v>
      </x:c>
      <x:c r="I22" s="40" t="n">
        <x:v>1.8</x:v>
      </x:c>
      <x:c r="J22" s="28" t="str">
        <x:v>현재 41개 핵심 씬에는 직접 배정되지 않음.</x:v>
      </x:c>
    </x:row>
    <x:row r="23">
      <x:c r="A23" s="28" t="str">
        <x:v>STABILIZERS</x:v>
      </x:c>
      <x:c r="B23" s="28" t="str">
        <x:v>안정기실</x:v>
      </x:c>
      <x:c r="C23" s="28" t="str">
        <x:v>STABILIZERS</x:v>
      </x:c>
      <x:c r="D23" s="28" t="str">
        <x:v>BGM/Midnight_Latitude(Theme_Adrian_Vale)</x:v>
      </x:c>
      <x:c r="E23" s="28" t="str">
        <x:v>SoundEffect/factory_exhaust_fan_sound</x:v>
      </x:c>
      <x:c r="F23" s="40" t="n">
        <x:v>0.25</x:v>
      </x:c>
      <x:c r="G23" s="40" t="str">
        <x:v>SoundEffect/boat_engine_sound</x:v>
      </x:c>
      <x:c r="H23" s="40" t="n">
        <x:v>0.15</x:v>
      </x:c>
      <x:c r="I23" s="40" t="n">
        <x:v>1.8</x:v>
      </x:c>
      <x:c r="J23" s="28" t="str">
        <x:v>안정화 로그 관련 보조 탐색 장소. 기계 로그 조사 장소.</x:v>
      </x:c>
    </x:row>
    <x:row r="24">
      <x:c r="A24" s="28" t="str">
        <x:v>BALLAST_TANKS</x:v>
      </x:c>
      <x:c r="B24" s="28" t="str">
        <x:v>밸러스트 탱크</x:v>
      </x:c>
      <x:c r="C24" s="28" t="str">
        <x:v>BALLAST_TANKS</x:v>
      </x:c>
      <x:c r="D24" s="28" t="str">
        <x:v>BGM/The_Horizon_Room</x:v>
      </x:c>
      <x:c r="E24" s="28" t="str">
        <x:v>SoundEffect/factory_exhaust_fan_sound</x:v>
      </x:c>
      <x:c r="F24" s="40" t="n">
        <x:v>0.3</x:v>
      </x:c>
      <x:c r="G24" s="40" t="str">
        <x:v>SoundEffect/boat_engine_sound</x:v>
      </x:c>
      <x:c r="H24" s="40" t="n">
        <x:v>0.12</x:v>
      </x:c>
      <x:c r="I24" s="40" t="n">
        <x:v>1.6</x:v>
      </x:c>
      <x:c r="J24" s="28" t="str">
        <x:v>저주파 기계 앰비언스 리소스 추가 필요. 공명·수압 전용음은 추가 제작 권장.</x:v>
      </x:c>
    </x:row>
    <x:row r="25">
      <x:c r="A25" s="28" t="str">
        <x:v>GENERATOR</x:v>
      </x:c>
      <x:c r="B25" s="28" t="str">
        <x:v>발전기실</x:v>
      </x:c>
      <x:c r="C25" s="28" t="str">
        <x:v>GENERATOR</x:v>
      </x:c>
      <x:c r="D25" s="28" t="str">
        <x:v>BGM/Midnight_Latitude(Theme_Adrian_Vale)</x:v>
      </x:c>
      <x:c r="E25" s="28" t="str">
        <x:v>SoundEffect/factory_exhaust_fan_sound</x:v>
      </x:c>
      <x:c r="F25" s="40" t="n">
        <x:v>0.38</x:v>
      </x:c>
      <x:c r="G25" s="40" t="str">
        <x:v>SoundEffect/boat_engine_sound</x:v>
      </x:c>
      <x:c r="H25" s="40" t="n">
        <x:v>0.1</x:v>
      </x:c>
      <x:c r="I25" s="40" t="n">
        <x:v>1.6</x:v>
      </x:c>
      <x:c r="J25" s="28" t="str">
        <x:v>발전기 루프 리소스 추가 필요. 발전기 전용 전기 험은 추가 제작 권장.</x:v>
      </x:c>
    </x:row>
    <x:row r="26">
      <x:c r="A26" s="28" t="str">
        <x:v>WORKSHOP</x:v>
      </x:c>
      <x:c r="B26" s="28" t="str">
        <x:v>작업실</x:v>
      </x:c>
      <x:c r="C26" s="28" t="str">
        <x:v>WORKSHOP</x:v>
      </x:c>
      <x:c r="D26" s="28" t="str">
        <x:v>BGM/Midnight_Latitude(Theme_Adrian_Vale)</x:v>
      </x:c>
      <x:c r="E26" s="28" t="str"/>
      <x:c r="F26" s="40" t="n">
        <x:v>0</x:v>
      </x:c>
      <x:c r="G26" s="40" t="str"/>
      <x:c r="H26" s="40" t="n">
        <x:v>0</x:v>
      </x:c>
      <x:c r="I26" s="40" t="n">
        <x:v>1.8</x:v>
      </x:c>
      <x:c r="J26" s="28" t="str">
        <x:v>현재 41개 핵심 씬에는 직접 배정되지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4f2af14d21dd41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12" hidden="0" customWidth="1"/>
    <x:col min="5" max="5" width="9" hidden="0" customWidth="1"/>
    <x:col min="6" max="6" width="14" hidden="0" customWidth="1"/>
    <x:col min="7" max="7" width="24" hidden="0" customWidth="1"/>
    <x:col min="8" max="8" width="28" hidden="0" customWidth="1"/>
    <x:col min="9" max="9" width="40" hidden="0" customWidth="1"/>
    <x:col min="10" max="10" width="28" hidden="0" customWidth="1"/>
    <x:col min="11" max="11" width="62" hidden="0" customWidth="1"/>
    <x:col min="12" max="12" width="22" hidden="0" customWidth="1"/>
    <x:col min="13" max="13" width="12" hidden="0" customWidth="1"/>
    <x:col min="14" max="14" width="14" hidden="0" customWidth="1"/>
    <x:col min="15" max="15" width="58" hidden="0" customWidth="1"/>
    <x:col min="16" max="16" width="15" hidden="0" customWidth="1"/>
    <x:col min="17" max="17" width="58" hidden="0" customWidth="1"/>
    <x:col min="18" max="18" width="16" hidden="0" customWidth="1"/>
    <x:col min="19" max="19" width="50" hidden="0" customWidth="1"/>
    <x:col min="20" max="20" width="95" hidden="0" customWidth="1"/>
    <x:col min="21" max="21" width="48" hidden="0" customWidth="1"/>
    <x:col min="22" max="22" width="44" hidden="0" customWidth="1"/>
    <x:col min="23" max="23" width="85" hidden="0" customWidth="1"/>
    <x:col min="24" max="24" width="82" hidden="0" customWidth="1"/>
    <x:col min="25" max="25" width="48" hidden="0" customWidth="1"/>
    <x:col min="26" max="26" width="12" hidden="0" customWidth="1"/>
    <x:col min="27" max="27" width="45" hidden="0" customWidth="1"/>
  </x:cols>
  <x:sheetData>
    <x:row r="1" ht="30" customHeight="1">
      <x:c r="A1" s="20" t="str">
        <x:v>Order</x:v>
      </x:c>
      <x:c r="B1" s="20" t="str">
        <x:v>Scene_ID</x:v>
      </x:c>
      <x:c r="C1" s="20" t="str">
        <x:v>Scene_Name</x:v>
      </x:c>
      <x:c r="D1" s="20" t="str">
        <x:v>Day</x:v>
      </x:c>
      <x:c r="E1" s="20" t="str">
        <x:v>Time</x:v>
      </x:c>
      <x:c r="F1" s="20" t="str">
        <x:v>Scene_Type</x:v>
      </x:c>
      <x:c r="G1" s="20" t="str">
        <x:v>Narrative_Location</x:v>
      </x:c>
      <x:c r="H1" s="20" t="str">
        <x:v>Canonical_Location</x:v>
      </x:c>
      <x:c r="I1" s="20" t="str">
        <x:v>Situation_State</x:v>
      </x:c>
      <x:c r="J1" s="20" t="str">
        <x:v>Entry_Trigger</x:v>
      </x:c>
      <x:c r="K1" s="20" t="str">
        <x:v>Primary_BGM</x:v>
      </x:c>
      <x:c r="L1" s="20" t="str">
        <x:v>BGM_Action</x:v>
      </x:c>
      <x:c r="M1" s="20" t="str">
        <x:v>BGM_Volume</x:v>
      </x:c>
      <x:c r="N1" s="20" t="str">
        <x:v>Crossfade_Sec</x:v>
      </x:c>
      <x:c r="O1" s="20" t="str">
        <x:v>Ambient_Layer_1</x:v>
      </x:c>
      <x:c r="P1" s="20" t="str">
        <x:v>Ambient1_Volume</x:v>
      </x:c>
      <x:c r="Q1" s="20" t="str">
        <x:v>Ambient_Layer_2</x:v>
      </x:c>
      <x:c r="R1" s="20" t="str">
        <x:v>Ambient2_Volume</x:v>
      </x:c>
      <x:c r="S1" s="20" t="str">
        <x:v>Entry_Stinger</x:v>
      </x:c>
      <x:c r="T1" s="20" t="str">
        <x:v>Event_SFX</x:v>
      </x:c>
      <x:c r="U1" s="20" t="str">
        <x:v>Ducking_Rule</x:v>
      </x:c>
      <x:c r="V1" s="20" t="str">
        <x:v>Exit_Rule</x:v>
      </x:c>
      <x:c r="W1" s="20" t="str">
        <x:v>Conditional_Override</x:v>
      </x:c>
      <x:c r="X1" s="20" t="str">
        <x:v>Implementation_Notes</x:v>
      </x:c>
      <x:c r="Y1" s="20" t="str">
        <x:v>Repo_Update</x:v>
      </x:c>
      <x:c r="Z1" s="20" t="str">
        <x:v>Confidence</x:v>
      </x:c>
      <x:c r="AA1" s="20" t="str">
        <x:v>Source_Basis</x:v>
      </x:c>
    </x:row>
    <x:row r="2">
      <x:c r="A2" s="28" t="n">
        <x:v>1</x:v>
      </x:c>
      <x:c r="B2" s="28" t="str">
        <x:v>P-01</x:v>
      </x:c>
      <x:c r="C2" s="28" t="str">
        <x:v>항구의 기자</x:v>
      </x:c>
      <x:c r="D2" s="28" t="str">
        <x:v>프롤로그</x:v>
      </x:c>
      <x:c r="E2" s="28" t="str">
        <x:v>15:10</x:v>
      </x:c>
      <x:c r="F2" s="28" t="str">
        <x:v>Prologue</x:v>
      </x:c>
      <x:c r="G2" s="28" t="str">
        <x:v>PORT</x:v>
      </x:c>
      <x:c r="H2" s="28" t="str">
        <x:v>PORT</x:v>
      </x:c>
      <x:c r="I2" s="28" t="str">
        <x:v>도착·경고·관찰 튜토리얼</x:v>
      </x:c>
      <x:c r="J2" s="28" t="str">
        <x:v>씬 진입 완료</x:v>
      </x:c>
      <x:c r="K2" s="28" t="str">
        <x:v>BGM/Passage_to_Port</x:v>
      </x:c>
      <x:c r="L2" s="28" t="str">
        <x:v>CrossfadeAndLoop</x:v>
      </x:c>
      <x:c r="M2" s="40" t="n">
        <x:v>0.56</x:v>
      </x:c>
      <x:c r="N2" s="40" t="n">
        <x:v>2</x:v>
      </x:c>
      <x:c r="O2" s="40" t="str">
        <x:v>SoundEffect/Sound_of_waves_on_the_beach_1</x:v>
      </x:c>
      <x:c r="P2" s="40" t="n">
        <x:v>0.42</x:v>
      </x:c>
      <x:c r="Q2" s="40" t="str">
        <x:v>SoundEffect/wind_noise</x:v>
      </x:c>
      <x:c r="R2" s="40" t="n">
        <x:v>0.26</x:v>
      </x:c>
      <x:c r="S2" s="28" t="str"/>
      <x:c r="T2" s="28" t="str">
        <x:v>SoundEffect/shoe_footsteps_sound_2; SoundEffect/finger snap</x:v>
      </x:c>
      <x:c r="U2" s="28" t="str">
        <x:v>대화 시 BGM -5dB, 앰비언스 -3dB</x:v>
      </x:c>
      <x:c r="V2" s="28" t="str">
        <x:v>P-02 전환까지 유지</x:v>
      </x:c>
      <x:c r="W2" s="28" t="str">
        <x:v>Daniel의 경고 문장 직전 BGM 10% 감쇠 선박 접근/출항 순간 boat_engine_sound를 0.24로 페이드인.</x:v>
      </x:c>
      <x:c r="X2" s="28" t="str">
        <x:v>여정의 시작은 밝게, 경고에서는 잠시 공간을 비운다.</x:v>
      </x:c>
      <x:c r="Y2" s="28" t="str">
        <x:v>wind_noise + boat_engine_sound 반영</x:v>
      </x:c>
      <x:c r="Z2" s="28" t="str">
        <x:v>높음</x:v>
      </x:c>
      <x:c r="AA2" s="28" t="str">
        <x:v>시나리오/제작 매뉴얼 + 레포 main@4287b0b 오디오 리소스</x:v>
      </x:c>
    </x:row>
    <x:row r="3">
      <x:c r="A3" s="28" t="n">
        <x:v>2</x:v>
      </x:c>
      <x:c r="B3" s="28" t="str">
        <x:v>P-02</x:v>
      </x:c>
      <x:c r="C3" s="28" t="str">
        <x:v>승선 명단의 오류</x:v>
      </x:c>
      <x:c r="D3" s="28" t="str">
        <x:v>프롤로그</x:v>
      </x:c>
      <x:c r="E3" s="28" t="str">
        <x:v>15:35</x:v>
      </x:c>
      <x:c r="F3" s="28" t="str">
        <x:v>Prologue</x:v>
      </x:c>
      <x:c r="G3" s="28" t="str">
        <x:v>GANGWAY</x:v>
      </x:c>
      <x:c r="H3" s="28" t="str">
        <x:v>GANGWAY</x:v>
      </x:c>
      <x:c r="I3" s="28" t="str">
        <x:v>승선·명단 모순</x:v>
      </x:c>
      <x:c r="J3" s="28" t="str">
        <x:v>위치 변경 완료</x:v>
      </x:c>
      <x:c r="K3" s="28" t="str">
        <x:v>BGM/Passage_to_Port</x:v>
      </x:c>
      <x:c r="L3" s="28" t="str">
        <x:v>ContinueIfSame</x:v>
      </x:c>
      <x:c r="M3" s="40" t="n">
        <x:v>0.52</x:v>
      </x:c>
      <x:c r="N3" s="40" t="n">
        <x:v>1.2</x:v>
      </x:c>
      <x:c r="O3" s="40" t="str">
        <x:v>SoundEffect/boat_engine_sound</x:v>
      </x:c>
      <x:c r="P3" s="40" t="n">
        <x:v>0.28</x:v>
      </x:c>
      <x:c r="Q3" s="40" t="str">
        <x:v>SoundEffect/Cafe_buzzing_sound</x:v>
      </x:c>
      <x:c r="R3" s="40" t="n">
        <x:v>0.24</x:v>
      </x:c>
      <x:c r="S3" s="28" t="str"/>
      <x:c r="T3" s="28" t="str">
        <x:v>SoundEffect/Book Page Turning; SoundEffect/shoe_footsteps_sound_2; SoundEffect/finger snap</x:v>
      </x:c>
      <x:c r="U3" s="28" t="str">
        <x:v>대화 시 BGM -5dB</x:v>
      </x:c>
      <x:c r="V3" s="28" t="str">
        <x:v>P-03 로드 때 크로스페이드</x:v>
      </x:c>
      <x:c r="W3" s="28" t="str">
        <x:v>명단 수정자 질문 성공 시 finger snap</x:v>
      </x:c>
      <x:c r="X3" s="28" t="str">
        <x:v>같은 여정 테마를 이어 장소 이동감을 유지한다.</x:v>
      </x:c>
      <x:c r="Y3" s="28" t="str">
        <x:v>boat_engine_sound 반영</x:v>
      </x:c>
      <x:c r="Z3" s="28" t="str">
        <x:v>높음</x:v>
      </x:c>
      <x:c r="AA3" s="28" t="str">
        <x:v>시나리오/제작 매뉴얼 + 레포 main@4287b0b 오디오 리소스</x:v>
      </x:c>
    </x:row>
    <x:row r="4">
      <x:c r="A4" s="28" t="n">
        <x:v>3</x:v>
      </x:c>
      <x:c r="B4" s="28" t="str">
        <x:v>P-03</x:v>
      </x:c>
      <x:c r="C4" s="28" t="str">
        <x:v>회장의 부탁</x:v>
      </x:c>
      <x:c r="D4" s="28" t="str">
        <x:v>프롤로그</x:v>
      </x:c>
      <x:c r="E4" s="28" t="str">
        <x:v>16:20</x:v>
      </x:c>
      <x:c r="F4" s="28" t="str">
        <x:v>Prologue</x:v>
      </x:c>
      <x:c r="G4" s="28" t="str">
        <x:v>DECK10_SUITE</x:v>
      </x:c>
      <x:c r="H4" s="28" t="str">
        <x:v>RICHARD_SUITE</x:v>
      </x:c>
      <x:c r="I4" s="28" t="str">
        <x:v>의뢰·협박장·Orpheus 공식 설명</x:v>
      </x:c>
      <x:c r="J4" s="28" t="str">
        <x:v>문 닫힘/대화 시작</x:v>
      </x:c>
      <x:c r="K4" s="28" t="str">
        <x:v>BGM/The_Mahogany_Ledger(Theme_Richard Hawthorne_Evelyn_Shaw)</x:v>
      </x:c>
      <x:c r="L4" s="28" t="str">
        <x:v>CrossfadeAndLoop</x:v>
      </x:c>
      <x:c r="M4" s="40" t="n">
        <x:v>0.48</x:v>
      </x:c>
      <x:c r="N4" s="40" t="n">
        <x:v>2.2</x:v>
      </x:c>
      <x:c r="O4" s="40" t="str"/>
      <x:c r="P4" s="40" t="n">
        <x:v>0</x:v>
      </x:c>
      <x:c r="Q4" s="40" t="str"/>
      <x:c r="R4" s="40" t="n">
        <x:v>0</x:v>
      </x:c>
      <x:c r="S4" s="28" t="str"/>
      <x:c r="T4" s="28" t="str">
        <x:v>SoundEffect/Book Page Turning; SoundEffect/Type_Writer</x:v>
      </x:c>
      <x:c r="U4" s="28" t="str">
        <x:v>대화 시 BGM -6dB</x:v>
      </x:c>
      <x:c r="V4" s="28" t="str">
        <x:v>D1-01 진입 때 해제</x:v>
      </x:c>
      <x:c r="W4" s="28" t="str">
        <x:v>아들 사진 조사 시 The_Long_Watch를 8초간 낮게 오버레이하지 말고 현재 BGM만 -4dB</x:v>
      </x:c>
      <x:c r="X4" s="28" t="str">
        <x:v>권력과 은폐의 테마를 첫 노출한다.</x:v>
      </x:c>
      <x:c r="Y4" s="28"/>
      <x:c r="Z4" s="28" t="str">
        <x:v>높음</x:v>
      </x:c>
      <x:c r="AA4" s="28" t="str">
        <x:v>시나리오/제작 매뉴얼 + 레포 main@4287b0b 오디오 리소스</x:v>
      </x:c>
    </x:row>
    <x:row r="5">
      <x:c r="A5" s="28" t="n">
        <x:v>4</x:v>
      </x:c>
      <x:c r="B5" s="28" t="str">
        <x:v>D1-01</x:v>
      </x:c>
      <x:c r="C5" s="28" t="str">
        <x:v>승객 소개</x:v>
      </x:c>
      <x:c r="D5" s="28" t="str">
        <x:v>Day 1</x:v>
      </x:c>
      <x:c r="E5" s="28" t="str">
        <x:v>17:00</x:v>
      </x:c>
      <x:c r="F5" s="28" t="str">
        <x:v>Investigation</x:v>
      </x:c>
      <x:c r="G5" s="28" t="str">
        <x:v>DECK8_ATRIUM</x:v>
      </x:c>
      <x:c r="H5" s="28" t="str">
        <x:v>ATRIUM</x:v>
      </x:c>
      <x:c r="I5" s="28" t="str">
        <x:v>자유 대화·용의자 소개</x:v>
      </x:c>
      <x:c r="J5" s="28" t="str">
        <x:v>아트리움 진입</x:v>
      </x:c>
      <x:c r="K5" s="28" t="str">
        <x:v>BGM/Passage_to_Port</x:v>
      </x:c>
      <x:c r="L5" s="28" t="str">
        <x:v>CrossfadeAndLoop</x:v>
      </x:c>
      <x:c r="M5" s="40" t="n">
        <x:v>0.52</x:v>
      </x:c>
      <x:c r="N5" s="40" t="n">
        <x:v>2</x:v>
      </x:c>
      <x:c r="O5" s="40" t="str">
        <x:v>SoundEffect/Cafe_buzzing_sound</x:v>
      </x:c>
      <x:c r="P5" s="40" t="n">
        <x:v>0.34</x:v>
      </x:c>
      <x:c r="Q5" s="40" t="str"/>
      <x:c r="R5" s="40" t="n">
        <x:v>0</x:v>
      </x:c>
      <x:c r="S5" s="28" t="str"/>
      <x:c r="T5" s="28" t="str">
        <x:v>SoundEffect/shoe_footsteps_sound_2</x:v>
      </x:c>
      <x:c r="U5" s="28" t="str">
        <x:v>대화 대상 선택 시 BGM -4dB</x:v>
      </x:c>
      <x:c r="V5" s="28" t="str">
        <x:v>D1-02 전환까지 유지</x:v>
      </x:c>
      <x:c r="W5" s="28" t="str">
        <x:v>모든 소개 완료 시 Whoop_-_a_short_2를 0.25 볼륨</x:v>
      </x:c>
      <x:c r="X5" s="28" t="str">
        <x:v>초기 탐색의 개방감과 선내 생활감을 유지한다.</x:v>
      </x:c>
      <x:c r="Y5" s="28"/>
      <x:c r="Z5" s="28" t="str">
        <x:v>높음</x:v>
      </x:c>
      <x:c r="AA5" s="28" t="str">
        <x:v>시나리오/제작 매뉴얼 + 레포 main@4287b0b 오디오 리소스</x:v>
      </x:c>
    </x:row>
    <x:row r="6">
      <x:c r="A6" s="28" t="n">
        <x:v>5</x:v>
      </x:c>
      <x:c r="B6" s="28" t="str">
        <x:v>D1-02</x:v>
      </x:c>
      <x:c r="C6" s="28" t="str">
        <x:v>불편한 만찬</x:v>
      </x:c>
      <x:c r="D6" s="28" t="str">
        <x:v>Day 1</x:v>
      </x:c>
      <x:c r="E6" s="28" t="str">
        <x:v>19:30</x:v>
      </x:c>
      <x:c r="F6" s="28" t="str">
        <x:v>Investigation</x:v>
      </x:c>
      <x:c r="G6" s="28" t="str">
        <x:v>DECK9_DINING</x:v>
      </x:c>
      <x:c r="H6" s="28" t="str">
        <x:v>DINING</x:v>
      </x:c>
      <x:c r="I6" s="28" t="str">
        <x:v>만찬·언쟁·긴장 상승</x:v>
      </x:c>
      <x:c r="J6" s="28" t="str">
        <x:v>식당 착석</x:v>
      </x:c>
      <x:c r="K6" s="28" t="str">
        <x:v>BGM/Last_Waltz_on_the_Elysium</x:v>
      </x:c>
      <x:c r="L6" s="28" t="str">
        <x:v>CrossfadeAndLoop</x:v>
      </x:c>
      <x:c r="M6" s="40" t="n">
        <x:v>0.5</x:v>
      </x:c>
      <x:c r="N6" s="40" t="n">
        <x:v>2</x:v>
      </x:c>
      <x:c r="O6" s="40" t="str">
        <x:v>SoundEffect/Cafe_buzzing_sound</x:v>
      </x:c>
      <x:c r="P6" s="40" t="n">
        <x:v>0.28</x:v>
      </x:c>
      <x:c r="Q6" s="40" t="str"/>
      <x:c r="R6" s="40" t="n">
        <x:v>0</x:v>
      </x:c>
      <x:c r="S6" s="28" t="str"/>
      <x:c r="T6" s="28" t="str">
        <x:v>SoundEffect/The_sound_of_flipping_newspaper; SoundEffect/finger snap</x:v>
      </x:c>
      <x:c r="U6" s="28" t="str">
        <x:v>대화 시 BGM -5dB</x:v>
      </x:c>
      <x:c r="V6" s="28" t="str">
        <x:v>D1-03에서 같은 테마 유지 가능</x:v>
      </x:c>
      <x:c r="W6" s="28" t="str">
        <x:v>Daniel-Claire 언쟁 시작 시 The_Mahogany_Ledger로 1.5초 크로스페이드, 언쟁 종료 후 Last_Waltz 복귀</x:v>
      </x:c>
      <x:c r="X6" s="28" t="str">
        <x:v>평온한 만찬과 기업 비밀의 충돌을 음악 변형으로 구분한다.</x:v>
      </x:c>
      <x:c r="Y6" s="28"/>
      <x:c r="Z6" s="28" t="str">
        <x:v>중간</x:v>
      </x:c>
      <x:c r="AA6" s="28" t="str">
        <x:v>시나리오/제작 매뉴얼 + 레포 main@4287b0b 오디오 리소스</x:v>
      </x:c>
    </x:row>
    <x:row r="7">
      <x:c r="A7" s="28" t="n">
        <x:v>6</x:v>
      </x:c>
      <x:c r="B7" s="28" t="str">
        <x:v>D1-03</x:v>
      </x:c>
      <x:c r="C7" s="28" t="str">
        <x:v>선상파티</x:v>
      </x:c>
      <x:c r="D7" s="28" t="str">
        <x:v>Day 1</x:v>
      </x:c>
      <x:c r="E7" s="28" t="str">
        <x:v>21:00</x:v>
      </x:c>
      <x:c r="F7" s="28" t="str">
        <x:v>Investigation</x:v>
      </x:c>
      <x:c r="G7" s="28" t="str">
        <x:v>DECK9_BALLROOM</x:v>
      </x:c>
      <x:c r="H7" s="28" t="str">
        <x:v>BALLROOM</x:v>
      </x:c>
      <x:c r="I7" s="28" t="str">
        <x:v>파티·자유 탐문·카메라 조사</x:v>
      </x:c>
      <x:c r="J7" s="28" t="str">
        <x:v>볼룸 문 열림</x:v>
      </x:c>
      <x:c r="K7" s="28" t="str">
        <x:v>BGM/Last_Waltz_on_the_Elysium</x:v>
      </x:c>
      <x:c r="L7" s="28" t="str">
        <x:v>ContinueIfSame</x:v>
      </x:c>
      <x:c r="M7" s="40" t="n">
        <x:v>0.64</x:v>
      </x:c>
      <x:c r="N7" s="40" t="n">
        <x:v>1.5</x:v>
      </x:c>
      <x:c r="O7" s="40" t="str">
        <x:v>SoundEffect/Cafe_buzzing_sound</x:v>
      </x:c>
      <x:c r="P7" s="40" t="n">
        <x:v>0.36</x:v>
      </x:c>
      <x:c r="Q7" s="40" t="str"/>
      <x:c r="R7" s="40" t="n">
        <x:v>0</x:v>
      </x:c>
      <x:c r="S7" s="28" t="str"/>
      <x:c r="T7" s="28" t="str">
        <x:v>SoundEffect/shoe_footsteps_sound_2; SoundEffect/finger snap</x:v>
      </x:c>
      <x:c r="U7" s="28" t="str">
        <x:v>인물 대화 시 BGM -6dB, 군중 -4dB</x:v>
      </x:c>
      <x:c r="V7" s="28" t="str">
        <x:v>D1-04 선택 시 빠르게 감쇠</x:v>
      </x:c>
      <x:c r="W7" s="28" t="str">
        <x:v>Daniel 추적 선택 시 1.2초 동안 BGM LPF/볼륨 감쇠 후 Adrian 테마로 전환</x:v>
      </x:c>
      <x:c r="X7" s="28" t="str">
        <x:v>파티 음악은 다이에제틱처럼 느끼되 실제 구현은 BGM 버스로 관리한다.</x:v>
      </x:c>
      <x:c r="Y7" s="28"/>
      <x:c r="Z7" s="28" t="str">
        <x:v>높음</x:v>
      </x:c>
      <x:c r="AA7" s="28" t="str">
        <x:v>시나리오/제작 매뉴얼 + 레포 main@4287b0b 오디오 리소스</x:v>
      </x:c>
    </x:row>
    <x:row r="8">
      <x:c r="A8" s="28" t="n">
        <x:v>7</x:v>
      </x:c>
      <x:c r="B8" s="28" t="str">
        <x:v>D1-04</x:v>
      </x:c>
      <x:c r="C8" s="28" t="str">
        <x:v>사라진 기자</x:v>
      </x:c>
      <x:c r="D8" s="28" t="str">
        <x:v>Day 1</x:v>
      </x:c>
      <x:c r="E8" s="28" t="str">
        <x:v>21:22</x:v>
      </x:c>
      <x:c r="F8" s="28" t="str">
        <x:v>Investigation</x:v>
      </x:c>
      <x:c r="G8" s="28" t="str">
        <x:v>SERVICE7</x:v>
      </x:c>
      <x:c r="H8" s="28" t="str">
        <x:v>CREW_STAIRS</x:v>
      </x:c>
      <x:c r="I8" s="28" t="str">
        <x:v>은밀한 추적·서비스 출입 로그</x:v>
      </x:c>
      <x:c r="J8" s="28" t="str">
        <x:v>서비스 문 닫힘</x:v>
      </x:c>
      <x:c r="K8" s="28" t="str">
        <x:v>BGM/Midnight_Latitude(Theme_Adrian_Vale)</x:v>
      </x:c>
      <x:c r="L8" s="28" t="str">
        <x:v>CrossfadeAndLoop</x:v>
      </x:c>
      <x:c r="M8" s="40" t="n">
        <x:v>0.5</x:v>
      </x:c>
      <x:c r="N8" s="40" t="n">
        <x:v>1.2</x:v>
      </x:c>
      <x:c r="O8" s="40" t="str">
        <x:v>SoundEffect/factory_exhaust_fan_sound</x:v>
      </x:c>
      <x:c r="P8" s="40" t="n">
        <x:v>0.11</x:v>
      </x:c>
      <x:c r="Q8" s="40" t="str"/>
      <x:c r="R8" s="40" t="n">
        <x:v>0</x:v>
      </x:c>
      <x:c r="S8" s="28" t="str"/>
      <x:c r="T8" s="28" t="str">
        <x:v>SoundEffect/shoe_footsteps_sound_2; SoundEffect/Type_Writer; SoundEffect/finger snap; SoundEffect/The_sound_of_an_iron_door_opening_and_closing</x:v>
      </x:c>
      <x:c r="U8" s="28" t="str">
        <x:v>승무원 NPC 대화 시 BGM -5dB</x:v>
      </x:c>
      <x:c r="V8" s="28" t="str">
        <x:v>D1-05 진입 시 페이드</x:v>
      </x:c>
      <x:c r="W8" s="28" t="str">
        <x:v>몰래 추적 선택 시 발걸음 간격을 짧게, 경비 알리기 선택 시 발걸음 생략</x:v>
      </x:c>
      <x:c r="X8" s="28" t="str">
        <x:v>공공 공간과 분리된 좁은 서비스 구역의 긴장을 만든다. 서비스 출입문 애니메이션의 실제 개폐 프레임에 철문 SFX 동기화.</x:v>
      </x:c>
      <x:c r="Y8" s="28" t="str">
        <x:v>철문 개폐 + 팬 레이어 반영</x:v>
      </x:c>
      <x:c r="Z8" s="28" t="str">
        <x:v>높음</x:v>
      </x:c>
      <x:c r="AA8" s="28" t="str">
        <x:v>시나리오/제작 매뉴얼 + 레포 main@4287b0b 오디오 리소스</x:v>
      </x:c>
    </x:row>
    <x:row r="9">
      <x:c r="A9" s="28" t="n">
        <x:v>8</x:v>
      </x:c>
      <x:c r="B9" s="28" t="str">
        <x:v>D1-05</x:v>
      </x:c>
      <x:c r="C9" s="28" t="str">
        <x:v>수상한 호출</x:v>
      </x:c>
      <x:c r="D9" s="28" t="str">
        <x:v>Day 1</x:v>
      </x:c>
      <x:c r="E9" s="28" t="str">
        <x:v>22:35</x:v>
      </x:c>
      <x:c r="F9" s="28" t="str">
        <x:v>Investigation</x:v>
      </x:c>
      <x:c r="G9" s="28" t="str">
        <x:v>DECK9_BALLROOM</x:v>
      </x:c>
      <x:c r="H9" s="28" t="str">
        <x:v>BALLROOM</x:v>
      </x:c>
      <x:c r="I9" s="28" t="str">
        <x:v>파티 속 은밀한 메시지</x:v>
      </x:c>
      <x:c r="J9" s="28" t="str">
        <x:v>볼룸 재진입/이벤트 시작</x:v>
      </x:c>
      <x:c r="K9" s="28" t="str">
        <x:v>BGM/The_Mahogany_Ledger(Theme_Richard Hawthorne_Evelyn_Shaw)</x:v>
      </x:c>
      <x:c r="L9" s="28" t="str">
        <x:v>CrossfadeAndLoop</x:v>
      </x:c>
      <x:c r="M9" s="40" t="n">
        <x:v>0.5</x:v>
      </x:c>
      <x:c r="N9" s="40" t="n">
        <x:v>1.4</x:v>
      </x:c>
      <x:c r="O9" s="40" t="str">
        <x:v>SoundEffect/Cafe_buzzing_sound</x:v>
      </x:c>
      <x:c r="P9" s="40" t="n">
        <x:v>0.2</x:v>
      </x:c>
      <x:c r="Q9" s="40" t="str"/>
      <x:c r="R9" s="40" t="n">
        <x:v>0</x:v>
      </x:c>
      <x:c r="S9" s="28" t="str"/>
      <x:c r="T9" s="28" t="str">
        <x:v>SoundEffect/Type_Writer; SoundEffect/finger snap</x:v>
      </x:c>
      <x:c r="U9" s="28" t="str">
        <x:v>대화 시 BGM -6dB, 군중 -6dB</x:v>
      </x:c>
      <x:c r="V9" s="28" t="str">
        <x:v>D1-06 직전 0.8초 무음</x:v>
      </x:c>
      <x:c r="W9" s="28" t="str">
        <x:v>메시지 원문 표시 시 Type_Writer, 메타데이터 획득 시 finger snap</x:v>
      </x:c>
      <x:c r="X9" s="28" t="str">
        <x:v>같은 볼룸이지만 D1-03과 다른 상황임을 씬 오버라이드로 명확히 한다.</x:v>
      </x:c>
      <x:c r="Y9" s="28"/>
      <x:c r="Z9" s="28" t="str">
        <x:v>높음</x:v>
      </x:c>
      <x:c r="AA9" s="28" t="str">
        <x:v>시나리오/제작 매뉴얼 + 레포 main@4287b0b 오디오 리소스</x:v>
      </x:c>
    </x:row>
    <x:row r="10">
      <x:c r="A10" s="28" t="n">
        <x:v>9</x:v>
      </x:c>
      <x:c r="B10" s="28" t="str">
        <x:v>D1-06</x:v>
      </x:c>
      <x:c r="C10" s="28" t="str">
        <x:v>발견</x:v>
      </x:c>
      <x:c r="D10" s="28" t="str">
        <x:v>Day 1</x:v>
      </x:c>
      <x:c r="E10" s="28" t="str">
        <x:v>22:45</x:v>
      </x:c>
      <x:c r="F10" s="28" t="str">
        <x:v>Investigation</x:v>
      </x:c>
      <x:c r="G10" s="28" t="str">
        <x:v>HORIZON</x:v>
      </x:c>
      <x:c r="H10" s="28" t="str">
        <x:v>HORIZON</x:v>
      </x:c>
      <x:c r="I10" s="28" t="str">
        <x:v>시신 발견·현장 봉쇄 선택</x:v>
      </x:c>
      <x:c r="J10" s="28" t="str">
        <x:v>Horizon 문 개방</x:v>
      </x:c>
      <x:c r="K10" s="28" t="str">
        <x:v>BGM/The_Horizon_Room</x:v>
      </x:c>
      <x:c r="L10" s="28" t="str">
        <x:v>HardCutThenLoop</x:v>
      </x:c>
      <x:c r="M10" s="40" t="n">
        <x:v>0.58</x:v>
      </x:c>
      <x:c r="N10" s="40" t="n">
        <x:v>0.3</x:v>
      </x:c>
      <x:c r="O10" s="40" t="str"/>
      <x:c r="P10" s="40" t="n">
        <x:v>0</x:v>
      </x:c>
      <x:c r="Q10" s="40" t="str"/>
      <x:c r="R10" s="40" t="n">
        <x:v>0</x:v>
      </x:c>
      <x:c r="S10" s="28" t="str">
        <x:v>SoundEffect/boom_sound_effect</x:v>
      </x:c>
      <x:c r="T10" s="28" t="str">
        <x:v>SoundEffect/shoe_footsteps_sound_2; SoundEffect/finger snap</x:v>
      </x:c>
      <x:c r="U10" s="28" t="str">
        <x:v>시신 확인 대사 시 BGM -8dB</x:v>
      </x:c>
      <x:c r="V10" s="28" t="str">
        <x:v>D1-07 로드 때 2초 페이드</x:v>
      </x:c>
      <x:c r="W10" s="28" t="str">
        <x:v>시신 실루엣 첫 노출에 boom 0.35 볼륨; 즉시 봉쇄 선택은 finger snap</x:v>
      </x:c>
      <x:c r="X10" s="28" t="str">
        <x:v>게임의 핵심 장소 테마를 강하게 각인하되 고어 대신 저음 임팩트로 처리한다.</x:v>
      </x:c>
      <x:c r="Y10" s="28"/>
      <x:c r="Z10" s="28" t="str">
        <x:v>높음</x:v>
      </x:c>
      <x:c r="AA10" s="28" t="str">
        <x:v>시나리오/제작 매뉴얼 + 레포 main@4287b0b 오디오 리소스</x:v>
      </x:c>
    </x:row>
    <x:row r="11">
      <x:c r="A11" s="28" t="n">
        <x:v>10</x:v>
      </x:c>
      <x:c r="B11" s="28" t="str">
        <x:v>D1-07</x:v>
      </x:c>
      <x:c r="C11" s="28" t="str">
        <x:v>비밀 수사 계약</x:v>
      </x:c>
      <x:c r="D11" s="28" t="str">
        <x:v>Day 1</x:v>
      </x:c>
      <x:c r="E11" s="28" t="str">
        <x:v>23:10</x:v>
      </x:c>
      <x:c r="F11" s="28" t="str">
        <x:v>Interrogation</x:v>
      </x:c>
      <x:c r="G11" s="28" t="str">
        <x:v>MEDBAY</x:v>
      </x:c>
      <x:c r="H11" s="28" t="str">
        <x:v>MEDBAY</x:v>
      </x:c>
      <x:c r="I11" s="28" t="str">
        <x:v>비밀 수사·본편 시작</x:v>
      </x:c>
      <x:c r="J11" s="28" t="str">
        <x:v>의무실 대화 시작</x:v>
      </x:c>
      <x:c r="K11" s="28" t="str">
        <x:v>BGM/Midnight_Latitude(Theme_Adrian_Vale)</x:v>
      </x:c>
      <x:c r="L11" s="28" t="str">
        <x:v>CrossfadeAndLoop</x:v>
      </x:c>
      <x:c r="M11" s="40" t="n">
        <x:v>0.43</x:v>
      </x:c>
      <x:c r="N11" s="40" t="n">
        <x:v>2</x:v>
      </x:c>
      <x:c r="O11" s="40" t="str"/>
      <x:c r="P11" s="40" t="n">
        <x:v>0</x:v>
      </x:c>
      <x:c r="Q11" s="40" t="str"/>
      <x:c r="R11" s="40" t="n">
        <x:v>0</x:v>
      </x:c>
      <x:c r="S11" s="28" t="str"/>
      <x:c r="T11" s="28" t="str">
        <x:v>SoundEffect/Book Page Turning; SoundEffect/finger snap</x:v>
      </x:c>
      <x:c r="U11" s="28" t="str">
        <x:v>대화 시 BGM -6dB</x:v>
      </x:c>
      <x:c r="V11" s="28" t="str">
        <x:v>Day 전환 직전 1.5초 페이드아웃</x:v>
      </x:c>
      <x:c r="W11" s="28" t="str">
        <x:v>계약 확정 시 finger snap, Day 전환에 The_sound_of_flipping_a_calendar</x:v>
      </x:c>
      <x:c r="X11" s="28" t="str">
        <x:v>Adrian의 수사 주도권을 음악으로 선언한다.</x:v>
      </x:c>
      <x:c r="Y11" s="28"/>
      <x:c r="Z11" s="28" t="str">
        <x:v>높음</x:v>
      </x:c>
      <x:c r="AA11" s="28" t="str">
        <x:v>시나리오/제작 매뉴얼 + 레포 main@4287b0b 오디오 리소스</x:v>
      </x:c>
    </x:row>
    <x:row r="12">
      <x:c r="A12" s="28" t="n">
        <x:v>11</x:v>
      </x:c>
      <x:c r="B12" s="28" t="str">
        <x:v>D2-01</x:v>
      </x:c>
      <x:c r="C12" s="28" t="str">
        <x:v>현장 재검증</x:v>
      </x:c>
      <x:c r="D12" s="28" t="str">
        <x:v>Day 2</x:v>
      </x:c>
      <x:c r="E12" s="28" t="str">
        <x:v>07:30</x:v>
      </x:c>
      <x:c r="F12" s="28" t="str">
        <x:v>Puzzle</x:v>
      </x:c>
      <x:c r="G12" s="28" t="str">
        <x:v>HORIZON</x:v>
      </x:c>
      <x:c r="H12" s="28" t="str">
        <x:v>HORIZON</x:v>
      </x:c>
      <x:c r="I12" s="28" t="str">
        <x:v>세 출구 미사용 검증</x:v>
      </x:c>
      <x:c r="J12" s="28" t="str">
        <x:v>Day 카드 후 Horizon 진입</x:v>
      </x:c>
      <x:c r="K12" s="28" t="str">
        <x:v>BGM/The_Horizon_Room</x:v>
      </x:c>
      <x:c r="L12" s="28" t="str">
        <x:v>CrossfadeAndLoop</x:v>
      </x:c>
      <x:c r="M12" s="40" t="n">
        <x:v>0.52</x:v>
      </x:c>
      <x:c r="N12" s="40" t="n">
        <x:v>2</x:v>
      </x:c>
      <x:c r="O12" s="40" t="str"/>
      <x:c r="P12" s="40" t="n">
        <x:v>0</x:v>
      </x:c>
      <x:c r="Q12" s="40" t="str"/>
      <x:c r="R12" s="40" t="n">
        <x:v>0</x:v>
      </x:c>
      <x:c r="S12" s="28" t="str"/>
      <x:c r="T12" s="28" t="str">
        <x:v>SoundEffect/shoe_footsteps_sound_2; SoundEffect/finger snap</x:v>
      </x:c>
      <x:c r="U12" s="28" t="str">
        <x:v>퍼즐 설명 시 -4dB, 결론 대사 시 -7dB</x:v>
      </x:c>
      <x:c r="V12" s="28" t="str">
        <x:v>D2-02/D2-04 분기에서도 같은 테마 유지 가능</x:v>
      </x:c>
      <x:c r="W12" s="28" t="str">
        <x:v>각 출구 결론 확정마다 finger snap; 세 개 완성 시 Whoop 0.2</x:v>
      </x:c>
      <x:c r="X12" s="28" t="str">
        <x:v>반복 방문이므로 발견 장면보다 낮은 볼륨으로 분석 모드화한다.</x:v>
      </x:c>
      <x:c r="Y12" s="28"/>
      <x:c r="Z12" s="28" t="str">
        <x:v>높음</x:v>
      </x:c>
      <x:c r="AA12" s="28" t="str">
        <x:v>시나리오/제작 매뉴얼 + 레포 main@4287b0b 오디오 리소스</x:v>
      </x:c>
    </x:row>
    <x:row r="13">
      <x:c r="A13" s="28" t="n">
        <x:v>12</x:v>
      </x:c>
      <x:c r="B13" s="28" t="str">
        <x:v>D2-02</x:v>
      </x:c>
      <x:c r="C13" s="28" t="str">
        <x:v>피의 방향</x:v>
      </x:c>
      <x:c r="D13" s="28" t="str">
        <x:v>Day 2</x:v>
      </x:c>
      <x:c r="E13" s="28" t="str">
        <x:v>08:40</x:v>
      </x:c>
      <x:c r="F13" s="28" t="str">
        <x:v>Puzzle</x:v>
      </x:c>
      <x:c r="G13" s="28" t="str">
        <x:v>HORIZON</x:v>
      </x:c>
      <x:c r="H13" s="28" t="str">
        <x:v>HORIZON</x:v>
      </x:c>
      <x:c r="I13" s="28" t="str">
        <x:v>혈흔 배열·시신 투입 가설</x:v>
      </x:c>
      <x:c r="J13" s="28" t="str">
        <x:v>혈흔 퍼즐 UI 열림</x:v>
      </x:c>
      <x:c r="K13" s="28" t="str">
        <x:v>BGM/The_Horizon_Room</x:v>
      </x:c>
      <x:c r="L13" s="28" t="str">
        <x:v>ContinueIfSame</x:v>
      </x:c>
      <x:c r="M13" s="40" t="n">
        <x:v>0.48</x:v>
      </x:c>
      <x:c r="N13" s="40" t="n">
        <x:v>0.8</x:v>
      </x:c>
      <x:c r="O13" s="40" t="str"/>
      <x:c r="P13" s="40" t="n">
        <x:v>0</x:v>
      </x:c>
      <x:c r="Q13" s="40" t="str"/>
      <x:c r="R13" s="40" t="n">
        <x:v>0</x:v>
      </x:c>
      <x:c r="S13" s="28" t="str"/>
      <x:c r="T13" s="28" t="str">
        <x:v>SoundEffect/finger snap; SoundEffect/Whoop_-_a_short_2</x:v>
      </x:c>
      <x:c r="U13" s="28" t="str">
        <x:v>힌트/Helena 대사 시 -6dB</x:v>
      </x:c>
      <x:c r="V13" s="28" t="str">
        <x:v>퍼즐 종료 후 원래 Horizon 볼륨 복귀</x:v>
      </x:c>
      <x:c r="W13" s="28" t="str">
        <x:v>타일 오답은 무음, 정답 단계만 finger snap; 최종 완료 Whoop 0.18</x:v>
      </x:c>
      <x:c r="X13" s="28" t="str">
        <x:v>오답마다 소리를 내지 않아 피로도를 낮춘다.</x:v>
      </x:c>
      <x:c r="Y13" s="28"/>
      <x:c r="Z13" s="28" t="str">
        <x:v>높음</x:v>
      </x:c>
      <x:c r="AA13" s="28" t="str">
        <x:v>시나리오/제작 매뉴얼 + 레포 main@4287b0b 오디오 리소스</x:v>
      </x:c>
    </x:row>
    <x:row r="14">
      <x:c r="A14" s="28" t="n">
        <x:v>13</x:v>
      </x:c>
      <x:c r="B14" s="28" t="str">
        <x:v>D2-03</x:v>
      </x:c>
      <x:c r="C14" s="28" t="str">
        <x:v>사망 시각</x:v>
      </x:c>
      <x:c r="D14" s="28" t="str">
        <x:v>Day 2</x:v>
      </x:c>
      <x:c r="E14" s="28" t="str">
        <x:v>09:30</x:v>
      </x:c>
      <x:c r="F14" s="28" t="str">
        <x:v>Interrogation</x:v>
      </x:c>
      <x:c r="G14" s="28" t="str">
        <x:v>MEDBAY</x:v>
      </x:c>
      <x:c r="H14" s="28" t="str">
        <x:v>MEDBAY</x:v>
      </x:c>
      <x:c r="I14" s="28" t="str">
        <x:v>안정제·체온 저하·의사 심문</x:v>
      </x:c>
      <x:c r="J14" s="28" t="str">
        <x:v>의무실 대화 시작</x:v>
      </x:c>
      <x:c r="K14" s="28" t="str">
        <x:v>BGM/Midnight_Latitude(Theme_Adrian_Vale)</x:v>
      </x:c>
      <x:c r="L14" s="28" t="str">
        <x:v>CrossfadeAndLoop</x:v>
      </x:c>
      <x:c r="M14" s="40" t="n">
        <x:v>0.42</x:v>
      </x:c>
      <x:c r="N14" s="40" t="n">
        <x:v>1.8</x:v>
      </x:c>
      <x:c r="O14" s="40" t="str"/>
      <x:c r="P14" s="40" t="n">
        <x:v>0</x:v>
      </x:c>
      <x:c r="Q14" s="40" t="str"/>
      <x:c r="R14" s="40" t="n">
        <x:v>0</x:v>
      </x:c>
      <x:c r="S14" s="28" t="str"/>
      <x:c r="T14" s="28" t="str">
        <x:v>SoundEffect/Book Page Turning; SoundEffect/Type_Writer; SoundEffect/finger snap</x:v>
      </x:c>
      <x:c r="U14" s="28" t="str">
        <x:v>대화 시 -6dB</x:v>
      </x:c>
      <x:c r="V14" s="28" t="str">
        <x:v>D2-06 이동 때 1.8초 크로스페이드</x:v>
      </x:c>
      <x:c r="W14" s="28" t="str">
        <x:v>처방 기록 표시 시 page, 사망 시각 수정 결론 시 finger snap</x:v>
      </x:c>
      <x:c r="X14" s="28" t="str">
        <x:v>의료 자료는 조용한 조사 테마로 처리한다.</x:v>
      </x:c>
      <x:c r="Y14" s="28"/>
      <x:c r="Z14" s="28" t="str">
        <x:v>높음</x:v>
      </x:c>
      <x:c r="AA14" s="28" t="str">
        <x:v>시나리오/제작 매뉴얼 + 레포 main@4287b0b 오디오 리소스</x:v>
      </x:c>
    </x:row>
    <x:row r="15">
      <x:c r="A15" s="28" t="n">
        <x:v>14</x:v>
      </x:c>
      <x:c r="B15" s="28" t="str">
        <x:v>D2-04</x:v>
      </x:c>
      <x:c r="C15" s="28" t="str">
        <x:v>카메라의 맹점</x:v>
      </x:c>
      <x:c r="D15" s="28" t="str">
        <x:v>Day 2</x:v>
      </x:c>
      <x:c r="E15" s="28" t="str">
        <x:v>11:00</x:v>
      </x:c>
      <x:c r="F15" s="28" t="str">
        <x:v>Investigation</x:v>
      </x:c>
      <x:c r="G15" s="28" t="str">
        <x:v>SECURITY</x:v>
      </x:c>
      <x:c r="H15" s="28" t="str">
        <x:v>SECURITY</x:v>
      </x:c>
      <x:c r="I15" s="28" t="str">
        <x:v>CCTV·설비 로그 대조</x:v>
      </x:c>
      <x:c r="J15" s="28" t="str">
        <x:v>CCTV 멀티뷰 활성화</x:v>
      </x:c>
      <x:c r="K15" s="28" t="str">
        <x:v>BGM/Midnight_Latitude(Theme_Adrian_Vale)</x:v>
      </x:c>
      <x:c r="L15" s="28" t="str">
        <x:v>CrossfadeAndLoop</x:v>
      </x:c>
      <x:c r="M15" s="40" t="n">
        <x:v>0.47</x:v>
      </x:c>
      <x:c r="N15" s="40" t="n">
        <x:v>1.8</x:v>
      </x:c>
      <x:c r="O15" s="40" t="str"/>
      <x:c r="P15" s="40" t="n">
        <x:v>0</x:v>
      </x:c>
      <x:c r="Q15" s="40" t="str"/>
      <x:c r="R15" s="40" t="n">
        <x:v>0</x:v>
      </x:c>
      <x:c r="S15" s="28" t="str"/>
      <x:c r="T15" s="28" t="str">
        <x:v>SoundEffect/Type_Writer; SoundEffect/finger snap</x:v>
      </x:c>
      <x:c r="U15" s="28" t="str">
        <x:v>로그 음독 시 -5dB</x:v>
      </x:c>
      <x:c r="V15" s="28" t="str">
        <x:v>D2-05 이동 때 1.6초 크로스페이드</x:v>
      </x:c>
      <x:c r="W15" s="28" t="str">
        <x:v>22:18 화재감지기 오류 선택 시 Type_Writer 정지 후 finger snap</x:v>
      </x:c>
      <x:c r="X15" s="28" t="str">
        <x:v>기계 로그의 리듬을 텍스트 SFX로 보완한다.</x:v>
      </x:c>
      <x:c r="Y15" s="28"/>
      <x:c r="Z15" s="28" t="str">
        <x:v>높음</x:v>
      </x:c>
      <x:c r="AA15" s="28" t="str">
        <x:v>시나리오/제작 매뉴얼 + 레포 main@4287b0b 오디오 리소스</x:v>
      </x:c>
    </x:row>
    <x:row r="16">
      <x:c r="A16" s="28" t="n">
        <x:v>15</x:v>
      </x:c>
      <x:c r="B16" s="28" t="str">
        <x:v>D2-05</x:v>
      </x:c>
      <x:c r="C16" s="28" t="str">
        <x:v>천장 패널</x:v>
      </x:c>
      <x:c r="D16" s="28" t="str">
        <x:v>Day 2</x:v>
      </x:c>
      <x:c r="E16" s="28" t="str">
        <x:v>14:00</x:v>
      </x:c>
      <x:c r="F16" s="28" t="str">
        <x:v>Investigation</x:v>
      </x:c>
      <x:c r="G16" s="28" t="str">
        <x:v>HORIZON</x:v>
      </x:c>
      <x:c r="H16" s="28" t="str">
        <x:v>HORIZON</x:v>
      </x:c>
      <x:c r="I16" s="28" t="str">
        <x:v>천장 개방 흔적·섬유 채취</x:v>
      </x:c>
      <x:c r="J16" s="28" t="str">
        <x:v>천장 핫스팟 확대</x:v>
      </x:c>
      <x:c r="K16" s="28" t="str">
        <x:v>BGM/The_Horizon_Room</x:v>
      </x:c>
      <x:c r="L16" s="28" t="str">
        <x:v>CrossfadeAndLoop</x:v>
      </x:c>
      <x:c r="M16" s="40" t="n">
        <x:v>0.5</x:v>
      </x:c>
      <x:c r="N16" s="40" t="n">
        <x:v>1.5</x:v>
      </x:c>
      <x:c r="O16" s="40" t="str"/>
      <x:c r="P16" s="40" t="n">
        <x:v>0</x:v>
      </x:c>
      <x:c r="Q16" s="40" t="str"/>
      <x:c r="R16" s="40" t="n">
        <x:v>0</x:v>
      </x:c>
      <x:c r="S16" s="28" t="str"/>
      <x:c r="T16" s="28" t="str">
        <x:v>SoundEffect/sound_of_clipping_nails; SoundEffect/finger snap</x:v>
      </x:c>
      <x:c r="U16" s="28" t="str">
        <x:v>Owen 대화 시 -6dB</x:v>
      </x:c>
      <x:c r="V16" s="28" t="str">
        <x:v>D2-06 전환 때 페이드</x:v>
      </x:c>
      <x:c r="W16" s="28" t="str">
        <x:v>섬유 채취에 sound_of_clipping_nails 0.15 볼륨—청음 검수 후 부적합하면 비활성화</x:v>
      </x:c>
      <x:c r="X16" s="28" t="str">
        <x:v>현재 리소스 중 가장 가까운 절단음의 임시 사용을 명시한다.</x:v>
      </x:c>
      <x:c r="Y16" s="28"/>
      <x:c r="Z16" s="28" t="str">
        <x:v>낮음</x:v>
      </x:c>
      <x:c r="AA16" s="28" t="str">
        <x:v>시나리오/제작 매뉴얼 + 레포 main@4287b0b 오디오 리소스</x:v>
      </x:c>
    </x:row>
    <x:row r="17">
      <x:c r="A17" s="28" t="n">
        <x:v>16</x:v>
      </x:c>
      <x:c r="B17" s="28" t="str">
        <x:v>D2-06</x:v>
      </x:c>
      <x:c r="C17" s="28" t="str">
        <x:v>기자의 객실</x:v>
      </x:c>
      <x:c r="D17" s="28" t="str">
        <x:v>Day 2</x:v>
      </x:c>
      <x:c r="E17" s="28" t="str">
        <x:v>17:20</x:v>
      </x:c>
      <x:c r="F17" s="28" t="str">
        <x:v>Investigation</x:v>
      </x:c>
      <x:c r="G17" s="28" t="str">
        <x:v>CABIN_DANIEL</x:v>
      </x:c>
      <x:c r="H17" s="28" t="str">
        <x:v>NEWS_LOUNGE</x:v>
      </x:c>
      <x:c r="I17" s="28" t="str">
        <x:v>기사 초안·익명 채팅·태블릿 부재</x:v>
      </x:c>
      <x:c r="J17" s="28" t="str">
        <x:v>객실 조사 시작</x:v>
      </x:c>
      <x:c r="K17" s="28" t="str">
        <x:v>BGM/Midnight_Latitude(Theme_Adrian_Vale)</x:v>
      </x:c>
      <x:c r="L17" s="28" t="str">
        <x:v>CrossfadeAndLoop</x:v>
      </x:c>
      <x:c r="M17" s="40" t="n">
        <x:v>0.44</x:v>
      </x:c>
      <x:c r="N17" s="40" t="n">
        <x:v>2</x:v>
      </x:c>
      <x:c r="O17" s="40" t="str"/>
      <x:c r="P17" s="40" t="n">
        <x:v>0</x:v>
      </x:c>
      <x:c r="Q17" s="40" t="str"/>
      <x:c r="R17" s="40" t="n">
        <x:v>0</x:v>
      </x:c>
      <x:c r="S17" s="28" t="str"/>
      <x:c r="T17" s="28" t="str">
        <x:v>SoundEffect/Type_Writer; SoundEffect/Book Page Turning; SoundEffect/finger snap</x:v>
      </x:c>
      <x:c r="U17" s="28" t="str">
        <x:v>Claire 등장 시 -6dB</x:v>
      </x:c>
      <x:c r="V17" s="28" t="str">
        <x:v>Day 3 전환 전 페이드아웃</x:v>
      </x:c>
      <x:c r="W17" s="28" t="str">
        <x:v>기사 초안은 Type_Writer, 채팅 스크롤은 page, 태블릿 부재 결론은 finger snap</x:v>
      </x:c>
      <x:c r="X17" s="28" t="str">
        <x:v>별칭 장소라도 씬 상태를 CABIN_DANIEL로 유지한다.</x:v>
      </x:c>
      <x:c r="Y17" s="28"/>
      <x:c r="Z17" s="28" t="str">
        <x:v>높음</x:v>
      </x:c>
      <x:c r="AA17" s="28" t="str">
        <x:v>시나리오/제작 매뉴얼 + 레포 main@4287b0b 오디오 리소스</x:v>
      </x:c>
    </x:row>
    <x:row r="18">
      <x:c r="A18" s="28" t="n">
        <x:v>17</x:v>
      </x:c>
      <x:c r="B18" s="28" t="str">
        <x:v>D3-01</x:v>
      </x:c>
      <x:c r="C18" s="28" t="str">
        <x:v>예약 기사 공개</x:v>
      </x:c>
      <x:c r="D18" s="28" t="str">
        <x:v>Day 3</x:v>
      </x:c>
      <x:c r="E18" s="28" t="str">
        <x:v>08:00</x:v>
      </x:c>
      <x:c r="F18" s="28" t="str">
        <x:v>Investigation</x:v>
      </x:c>
      <x:c r="G18" s="28" t="str">
        <x:v>NEWS_LOUNGE</x:v>
      </x:c>
      <x:c r="H18" s="28" t="str">
        <x:v>NEWS_LOUNGE</x:v>
      </x:c>
      <x:c r="I18" s="28" t="str">
        <x:v>기사 공개·승객 불안 상승</x:v>
      </x:c>
      <x:c r="J18" s="28" t="str">
        <x:v>Day 카드 후 기사 UI 표시</x:v>
      </x:c>
      <x:c r="K18" s="28" t="str">
        <x:v>BGM/The_Mahogany_Ledger(Theme_Richard Hawthorne_Evelyn_Shaw)</x:v>
      </x:c>
      <x:c r="L18" s="28" t="str">
        <x:v>CrossfadeAndLoop</x:v>
      </x:c>
      <x:c r="M18" s="40" t="n">
        <x:v>0.53</x:v>
      </x:c>
      <x:c r="N18" s="40" t="n">
        <x:v>2</x:v>
      </x:c>
      <x:c r="O18" s="40" t="str">
        <x:v>SoundEffect/Cafe_buzzing_sound</x:v>
      </x:c>
      <x:c r="P18" s="40" t="n">
        <x:v>0.34</x:v>
      </x:c>
      <x:c r="Q18" s="40" t="str"/>
      <x:c r="R18" s="40" t="n">
        <x:v>0</x:v>
      </x:c>
      <x:c r="S18" s="28" t="str">
        <x:v>SoundEffect/The_sound_of_flipping_newspaper</x:v>
      </x:c>
      <x:c r="T18" s="28" t="str">
        <x:v>SoundEffect/Type_Writer</x:v>
      </x:c>
      <x:c r="U18" s="28" t="str">
        <x:v>대화 시 -6dB, 군중 -4dB</x:v>
      </x:c>
      <x:c r="V18" s="28" t="str">
        <x:v>D3-02 진입까지 유지</x:v>
      </x:c>
      <x:c r="W18" s="28" t="str">
        <x:v>Public Anxiety 높음 상태면 군중 앰비언스 +20%, BGM +5%</x:v>
      </x:c>
      <x:c r="X18" s="28" t="str">
        <x:v>승객 불안을 수치 대신 소리 밀도로 표현한다.</x:v>
      </x:c>
      <x:c r="Y18" s="28"/>
      <x:c r="Z18" s="28" t="str">
        <x:v>높음</x:v>
      </x:c>
      <x:c r="AA18" s="28" t="str">
        <x:v>시나리오/제작 매뉴얼 + 레포 main@4287b0b 오디오 리소스</x:v>
      </x:c>
    </x:row>
    <x:row r="19">
      <x:c r="A19" s="28" t="n">
        <x:v>18</x:v>
      </x:c>
      <x:c r="B19" s="28" t="str">
        <x:v>D3-02</x:v>
      </x:c>
      <x:c r="C19" s="28" t="str">
        <x:v>Richard의 자백 1</x:v>
      </x:c>
      <x:c r="D19" s="28" t="str">
        <x:v>Day 3</x:v>
      </x:c>
      <x:c r="E19" s="28" t="str">
        <x:v>10:30</x:v>
      </x:c>
      <x:c r="F19" s="28" t="str">
        <x:v>Interrogation</x:v>
      </x:c>
      <x:c r="G19" s="28" t="str">
        <x:v>DECK10_SUITE</x:v>
      </x:c>
      <x:c r="H19" s="28" t="str">
        <x:v>RICHARD_SUITE</x:v>
      </x:c>
      <x:c r="I19" s="28" t="str">
        <x:v>은폐·매수 자백·아들 오해</x:v>
      </x:c>
      <x:c r="J19" s="28" t="str">
        <x:v>심문 시작</x:v>
      </x:c>
      <x:c r="K19" s="28" t="str">
        <x:v>BGM/The_Mahogany_Ledger(Theme_Richard Hawthorne_Evelyn_Shaw)</x:v>
      </x:c>
      <x:c r="L19" s="28" t="str">
        <x:v>ContinueIfSame</x:v>
      </x:c>
      <x:c r="M19" s="40" t="n">
        <x:v>0.48</x:v>
      </x:c>
      <x:c r="N19" s="40" t="n">
        <x:v>1.5</x:v>
      </x:c>
      <x:c r="O19" s="40" t="str"/>
      <x:c r="P19" s="40" t="n">
        <x:v>0</x:v>
      </x:c>
      <x:c r="Q19" s="40" t="str"/>
      <x:c r="R19" s="40" t="n">
        <x:v>0</x:v>
      </x:c>
      <x:c r="S19" s="28" t="str"/>
      <x:c r="T19" s="28" t="str">
        <x:v>SoundEffect/Book Page Turning; SoundEffect/finger snap</x:v>
      </x:c>
      <x:c r="U19" s="28" t="str">
        <x:v>대사 중 -7dB</x:v>
      </x:c>
      <x:c r="V19" s="28" t="str">
        <x:v>D3-03에서 Thomas 테마로 전환</x:v>
      </x:c>
      <x:c r="W19" s="28" t="str">
        <x:v>공감 심문 성공 시 아들 사진 구간에서 BGM -8dB, 완전 자백 시 finger snap</x:v>
      </x:c>
      <x:c r="X19" s="28" t="str">
        <x:v>인물 테마를 유지하며 감정 대사에 공간을 준다.</x:v>
      </x:c>
      <x:c r="Y19" s="28"/>
      <x:c r="Z19" s="28" t="str">
        <x:v>높음</x:v>
      </x:c>
      <x:c r="AA19" s="28" t="str">
        <x:v>시나리오/제작 매뉴얼 + 레포 main@4287b0b 오디오 리소스</x:v>
      </x:c>
    </x:row>
    <x:row r="20">
      <x:c r="A20" s="28" t="n">
        <x:v>19</x:v>
      </x:c>
      <x:c r="B20" s="28" t="str">
        <x:v>D3-03</x:v>
      </x:c>
      <x:c r="C20" s="28" t="str">
        <x:v>Thomas의 침묵</x:v>
      </x:c>
      <x:c r="D20" s="28" t="str">
        <x:v>Day 3</x:v>
      </x:c>
      <x:c r="E20" s="28" t="str">
        <x:v>13:00</x:v>
      </x:c>
      <x:c r="F20" s="28" t="str">
        <x:v>Interrogation</x:v>
      </x:c>
      <x:c r="G20" s="28" t="str">
        <x:v>BRIDGE</x:v>
      </x:c>
      <x:c r="H20" s="28" t="str">
        <x:v>ENGINE_CONTROL</x:v>
      </x:c>
      <x:c r="I20" s="28" t="str">
        <x:v>원본 모듈·선장의 침묵</x:v>
      </x:c>
      <x:c r="J20" s="28" t="str">
        <x:v>브리지 진입</x:v>
      </x:c>
      <x:c r="K20" s="28" t="str">
        <x:v>BGM/The_Long_Watch(Theme_Thomas_Reed)</x:v>
      </x:c>
      <x:c r="L20" s="28" t="str">
        <x:v>CrossfadeAndLoop</x:v>
      </x:c>
      <x:c r="M20" s="40" t="n">
        <x:v>0.5</x:v>
      </x:c>
      <x:c r="N20" s="40" t="n">
        <x:v>2.2</x:v>
      </x:c>
      <x:c r="O20" s="40" t="str">
        <x:v>SoundEffect/factory_exhaust_fan_sound</x:v>
      </x:c>
      <x:c r="P20" s="40" t="n">
        <x:v>0.12</x:v>
      </x:c>
      <x:c r="Q20" s="40" t="str">
        <x:v>SoundEffect/boat_engine_sound</x:v>
      </x:c>
      <x:c r="R20" s="40" t="n">
        <x:v>0.2</x:v>
      </x:c>
      <x:c r="S20" s="28" t="str"/>
      <x:c r="T20" s="28" t="str">
        <x:v>SoundEffect/Book Page Turning; SoundEffect/finger snap</x:v>
      </x:c>
      <x:c r="U20" s="28" t="str">
        <x:v>대화 시 -7dB</x:v>
      </x:c>
      <x:c r="V20" s="28" t="str">
        <x:v>D3-04 금고 진입 때 2초 전환</x:v>
      </x:c>
      <x:c r="W20" s="28" t="str">
        <x:v>증인으로 설득 성공 시 BGM 볼륨을 5초간 0.38로 낮춘 후 복귀</x:v>
      </x:c>
      <x:c r="X20" s="28" t="str">
        <x:v>Thomas와 과거의 무게를 전용 테마로 분리한다.</x:v>
      </x:c>
      <x:c r="Y20" s="28" t="str">
        <x:v>factory_exhaust_fan_sound + boat_engine_sound 반영</x:v>
      </x:c>
      <x:c r="Z20" s="28" t="str">
        <x:v>높음</x:v>
      </x:c>
      <x:c r="AA20" s="28" t="str">
        <x:v>시나리오/제작 매뉴얼 + 레포 main@4287b0b 오디오 리소스</x:v>
      </x:c>
    </x:row>
    <x:row r="21">
      <x:c r="A21" s="28" t="n">
        <x:v>20</x:v>
      </x:c>
      <x:c r="B21" s="28" t="str">
        <x:v>D3-04</x:v>
      </x:c>
      <x:c r="C21" s="28" t="str">
        <x:v>봉인된 기록</x:v>
      </x:c>
      <x:c r="D21" s="28" t="str">
        <x:v>Day 3</x:v>
      </x:c>
      <x:c r="E21" s="28" t="str">
        <x:v>16:00</x:v>
      </x:c>
      <x:c r="F21" s="28" t="str">
        <x:v>Investigation</x:v>
      </x:c>
      <x:c r="G21" s="28" t="str">
        <x:v>VAULT</x:v>
      </x:c>
      <x:c r="H21" s="28" t="str">
        <x:v>VAULT</x:v>
      </x:c>
      <x:c r="I21" s="28" t="str">
        <x:v>이중 인증·모듈 덮어쓰기</x:v>
      </x:c>
      <x:c r="J21" s="28" t="str">
        <x:v>금고 잠금 해제</x:v>
      </x:c>
      <x:c r="K21" s="28" t="str">
        <x:v>BGM/The_Mahogany_Ledger(Theme_Richard Hawthorne_Evelyn_Shaw)</x:v>
      </x:c>
      <x:c r="L21" s="28" t="str">
        <x:v>CrossfadeAndLoop</x:v>
      </x:c>
      <x:c r="M21" s="40" t="n">
        <x:v>0.53</x:v>
      </x:c>
      <x:c r="N21" s="40" t="n">
        <x:v>1.8</x:v>
      </x:c>
      <x:c r="O21" s="40" t="str"/>
      <x:c r="P21" s="40" t="n">
        <x:v>0</x:v>
      </x:c>
      <x:c r="Q21" s="40" t="str"/>
      <x:c r="R21" s="40" t="n">
        <x:v>0</x:v>
      </x:c>
      <x:c r="S21" s="28" t="str"/>
      <x:c r="T21" s="28" t="str">
        <x:v>SoundEffect/Book Page Turning; SoundEffect/Type_Writer; SoundEffect/finger snap; SoundEffect/The_sound_of_an_iron_door_knocking; SoundEffect/The_sound_of_an_iron_door_opening_and_closing</x:v>
      </x:c>
      <x:c r="U21" s="28" t="str">
        <x:v>대화 시 -6dB</x:v>
      </x:c>
      <x:c r="V21" s="28" t="str">
        <x:v>D3-05 이동 때 2초 페이드</x:v>
      </x:c>
      <x:c r="W21" s="28" t="str">
        <x:v>21:05 접근 로그 조합 성공 시 Type_Writer 중지→finger snap 권한 부족/실패 입력에는 iron door knock, 정상 해제 후에는 iron door opening_and_closing.</x:v>
      </x:c>
      <x:c r="X21" s="28" t="str">
        <x:v>금고·회사 권한·Evelyn/Marcus 연결을 강조한다.</x:v>
      </x:c>
      <x:c r="Y21" s="28" t="str">
        <x:v>철문 노크·개폐 반영</x:v>
      </x:c>
      <x:c r="Z21" s="28" t="str">
        <x:v>높음</x:v>
      </x:c>
      <x:c r="AA21" s="28" t="str">
        <x:v>시나리오/제작 매뉴얼 + 레포 main@4287b0b 오디오 리소스</x:v>
      </x:c>
    </x:row>
    <x:row r="22">
      <x:c r="A22" s="28" t="n">
        <x:v>21</x:v>
      </x:c>
      <x:c r="B22" s="28" t="str">
        <x:v>D3-05</x:v>
      </x:c>
      <x:c r="C22" s="28" t="str">
        <x:v>익명 제보자의 문장</x:v>
      </x:c>
      <x:c r="D22" s="28" t="str">
        <x:v>Day 3</x:v>
      </x:c>
      <x:c r="E22" s="28" t="str">
        <x:v>20:00</x:v>
      </x:c>
      <x:c r="F22" s="28" t="str">
        <x:v>Investigation</x:v>
      </x:c>
      <x:c r="G22" s="28" t="str">
        <x:v>PROMENADE</x:v>
      </x:c>
      <x:c r="H22" s="28" t="str">
        <x:v>PROMENADE</x:v>
      </x:c>
      <x:c r="I22" s="28" t="str">
        <x:v>문체 비교·야간 1:1 대화</x:v>
      </x:c>
      <x:c r="J22" s="28" t="str">
        <x:v>산책 갑판 진입</x:v>
      </x:c>
      <x:c r="K22" s="28" t="str">
        <x:v>BGM/Midnight_Latitude(Theme_Adrian_Vale)</x:v>
      </x:c>
      <x:c r="L22" s="28" t="str">
        <x:v>CrossfadeAndLoop</x:v>
      </x:c>
      <x:c r="M22" s="40" t="n">
        <x:v>0.44</x:v>
      </x:c>
      <x:c r="N22" s="40" t="n">
        <x:v>2</x:v>
      </x:c>
      <x:c r="O22" s="40" t="str">
        <x:v>SoundEffect/wind_noise</x:v>
      </x:c>
      <x:c r="P22" s="40" t="n">
        <x:v>0.34</x:v>
      </x:c>
      <x:c r="Q22" s="40" t="str">
        <x:v>SoundEffect/Sound_of_waves_on_the_beach_1</x:v>
      </x:c>
      <x:c r="R22" s="40" t="n">
        <x:v>0.32</x:v>
      </x:c>
      <x:c r="S22" s="28" t="str"/>
      <x:c r="T22" s="28" t="str">
        <x:v>SoundEffect/Type_Writer; SoundEffect/finger snap</x:v>
      </x:c>
      <x:c r="U22" s="28" t="str">
        <x:v>대화 시 BGM -7dB, 파도 -3dB</x:v>
      </x:c>
      <x:c r="V22" s="28" t="str">
        <x:v>Day 4 전환 전 2초 페이드</x:v>
      </x:c>
      <x:c r="W22" s="28" t="str">
        <x:v>반복 문장 일치 시 Type_Writer를 즉시 끊고 finger snap</x:v>
      </x:c>
      <x:c r="X22" s="28" t="str">
        <x:v>고요한 바다와 문체 분석의 대비를 만든다.</x:v>
      </x:c>
      <x:c r="Y22" s="28" t="str">
        <x:v>wind_noise 반영</x:v>
      </x:c>
      <x:c r="Z22" s="28" t="str">
        <x:v>높음</x:v>
      </x:c>
      <x:c r="AA22" s="28" t="str">
        <x:v>시나리오/제작 매뉴얼 + 레포 main@4287b0b 오디오 리소스</x:v>
      </x:c>
    </x:row>
    <x:row r="23">
      <x:c r="A23" s="28" t="n">
        <x:v>22</x:v>
      </x:c>
      <x:c r="B23" s="28" t="str">
        <x:v>D4-01</x:v>
      </x:c>
      <x:c r="C23" s="28" t="str">
        <x:v>Marcus의 거짓말</x:v>
      </x:c>
      <x:c r="D23" s="28" t="str">
        <x:v>Day 4</x:v>
      </x:c>
      <x:c r="E23" s="28" t="str">
        <x:v>08:30</x:v>
      </x:c>
      <x:c r="F23" s="28" t="str">
        <x:v>Interrogation</x:v>
      </x:c>
      <x:c r="G23" s="28" t="str">
        <x:v>SECURITY</x:v>
      </x:c>
      <x:c r="H23" s="28" t="str">
        <x:v>SECURITY</x:v>
      </x:c>
      <x:c r="I23" s="28" t="str">
        <x:v>도박 채무·인증 대여 추궁</x:v>
      </x:c>
      <x:c r="J23" s="28" t="str">
        <x:v>심문 UI 열림</x:v>
      </x:c>
      <x:c r="K23" s="28" t="str">
        <x:v>BGM/The_Mahogany_Ledger(Theme_Richard Hawthorne_Evelyn_Shaw)</x:v>
      </x:c>
      <x:c r="L23" s="28" t="str">
        <x:v>CrossfadeAndLoop</x:v>
      </x:c>
      <x:c r="M23" s="40" t="n">
        <x:v>0.49</x:v>
      </x:c>
      <x:c r="N23" s="40" t="n">
        <x:v>1.8</x:v>
      </x:c>
      <x:c r="O23" s="40" t="str"/>
      <x:c r="P23" s="40" t="n">
        <x:v>0</x:v>
      </x:c>
      <x:c r="Q23" s="40" t="str"/>
      <x:c r="R23" s="40" t="n">
        <x:v>0</x:v>
      </x:c>
      <x:c r="S23" s="28" t="str"/>
      <x:c r="T23" s="28" t="str">
        <x:v>SoundEffect/Type_Writer; SoundEffect/finger snap</x:v>
      </x:c>
      <x:c r="U23" s="28" t="str">
        <x:v>대화 시 -7dB</x:v>
      </x:c>
      <x:c r="V23" s="28" t="str">
        <x:v>D4-02 이벤트 직전 0.5초 페이드</x:v>
      </x:c>
      <x:c r="W23" s="28" t="str">
        <x:v>보호 약속 선택 성공 시 BGM -4dB, 협박 선택 시 그대로 유지</x:v>
      </x:c>
      <x:c r="X23" s="28" t="str">
        <x:v>Marcus를 압박하는 기업 권력의 잔향을 사용한다.</x:v>
      </x:c>
      <x:c r="Y23" s="28"/>
      <x:c r="Z23" s="28" t="str">
        <x:v>중간</x:v>
      </x:c>
      <x:c r="AA23" s="28" t="str">
        <x:v>시나리오/제작 매뉴얼 + 레포 main@4287b0b 오디오 리소스</x:v>
      </x:c>
    </x:row>
    <x:row r="24">
      <x:c r="A24" s="28" t="n">
        <x:v>23</x:v>
      </x:c>
      <x:c r="B24" s="28" t="str">
        <x:v>D4-02</x:v>
      </x:c>
      <x:c r="C24" s="28" t="str">
        <x:v>계단 추락</x:v>
      </x:c>
      <x:c r="D24" s="28" t="str">
        <x:v>Day 4</x:v>
      </x:c>
      <x:c r="E24" s="28" t="str">
        <x:v>11:45</x:v>
      </x:c>
      <x:c r="F24" s="28" t="str">
        <x:v>Investigation</x:v>
      </x:c>
      <x:c r="G24" s="28" t="str">
        <x:v>STAIR_B</x:v>
      </x:c>
      <x:c r="H24" s="28" t="str">
        <x:v>CREW_STAIRS</x:v>
      </x:c>
      <x:c r="I24" s="28" t="str">
        <x:v>추락 직후·오판 위험</x:v>
      </x:c>
      <x:c r="J24" s="28" t="str">
        <x:v>충돌 이벤트 발생</x:v>
      </x:c>
      <x:c r="K24" s="28" t="str">
        <x:v>BGM/Evelyn_s_Final_Clause</x:v>
      </x:c>
      <x:c r="L24" s="28" t="str">
        <x:v>HardCutThenLoop</x:v>
      </x:c>
      <x:c r="M24" s="40" t="n">
        <x:v>0.56</x:v>
      </x:c>
      <x:c r="N24" s="40" t="n">
        <x:v>0.2</x:v>
      </x:c>
      <x:c r="O24" s="40" t="str">
        <x:v>SoundEffect/factory_exhaust_fan_sound</x:v>
      </x:c>
      <x:c r="P24" s="40" t="n">
        <x:v>0.11</x:v>
      </x:c>
      <x:c r="Q24" s="40" t="str"/>
      <x:c r="R24" s="40" t="n">
        <x:v>0</x:v>
      </x:c>
      <x:c r="S24" s="28" t="str">
        <x:v>SoundEffect/boom_sound_effect</x:v>
      </x:c>
      <x:c r="T24" s="28" t="str">
        <x:v>SoundEffect/shoe_footsteps_sound_2; SoundEffect/The_sound_of_an_iron_door_opening_and_closing</x:v>
      </x:c>
      <x:c r="U24" s="28" t="str">
        <x:v>Helena 응급 대사 시 -8dB</x:v>
      </x:c>
      <x:c r="V24" s="28" t="str">
        <x:v>D4-03 시작 때 Adrian 테마로 전환</x:v>
      </x:c>
      <x:c r="W24" s="28" t="str">
        <x:v>Evelyn 즉시 구금 선택 시 짧은 finger snap 금지—오판을 성공음으로 오해하지 않게 함</x:v>
      </x:c>
      <x:c r="X24" s="28" t="str">
        <x:v>갑작스러운 위기와 범인 오판 유혹을 강하게 만든다. 계단 구역 출입문이 금속문인 경우에만 사용.</x:v>
      </x:c>
      <x:c r="Y24" s="28" t="str">
        <x:v>철문 개폐 + 팬 레이어 반영</x:v>
      </x:c>
      <x:c r="Z24" s="28" t="str">
        <x:v>높음</x:v>
      </x:c>
      <x:c r="AA24" s="28" t="str">
        <x:v>시나리오/제작 매뉴얼 + 레포 main@4287b0b 오디오 리소스</x:v>
      </x:c>
    </x:row>
    <x:row r="25">
      <x:c r="A25" s="28" t="n">
        <x:v>24</x:v>
      </x:c>
      <x:c r="B25" s="28" t="str">
        <x:v>D4-03</x:v>
      </x:c>
      <x:c r="C25" s="28" t="str">
        <x:v>사고의 재구성</x:v>
      </x:c>
      <x:c r="D25" s="28" t="str">
        <x:v>Day 4</x:v>
      </x:c>
      <x:c r="E25" s="28" t="str">
        <x:v>14:30</x:v>
      </x:c>
      <x:c r="F25" s="28" t="str">
        <x:v>Puzzle</x:v>
      </x:c>
      <x:c r="G25" s="28" t="str">
        <x:v>STAIR_B</x:v>
      </x:c>
      <x:c r="H25" s="28" t="str">
        <x:v>CREW_STAIRS</x:v>
      </x:c>
      <x:c r="I25" s="28" t="str">
        <x:v>발자국·난간·추락 순서 재구성</x:v>
      </x:c>
      <x:c r="J25" s="28" t="str">
        <x:v>재구성 UI 열림</x:v>
      </x:c>
      <x:c r="K25" s="28" t="str">
        <x:v>BGM/Midnight_Latitude(Theme_Adrian_Vale)</x:v>
      </x:c>
      <x:c r="L25" s="28" t="str">
        <x:v>CrossfadeAndLoop</x:v>
      </x:c>
      <x:c r="M25" s="40" t="n">
        <x:v>0.47</x:v>
      </x:c>
      <x:c r="N25" s="40" t="n">
        <x:v>1.4</x:v>
      </x:c>
      <x:c r="O25" s="40" t="str">
        <x:v>SoundEffect/factory_exhaust_fan_sound</x:v>
      </x:c>
      <x:c r="P25" s="40" t="n">
        <x:v>0.11</x:v>
      </x:c>
      <x:c r="Q25" s="40" t="str"/>
      <x:c r="R25" s="40" t="n">
        <x:v>0</x:v>
      </x:c>
      <x:c r="S25" s="28" t="str"/>
      <x:c r="T25" s="28" t="str">
        <x:v>SoundEffect/shoe_footsteps_sound_2; SoundEffect/finger snap; SoundEffect/Whoop_-_a_short_2</x:v>
      </x:c>
      <x:c r="U25" s="28" t="str">
        <x:v>Owen 설명 시 -6dB</x:v>
      </x:c>
      <x:c r="V25" s="28" t="str">
        <x:v>D4-04 이동 때 1.8초 페이드</x:v>
      </x:c>
      <x:c r="W25" s="28" t="str">
        <x:v>발자국 카드 재생마다 footstep 1회; 최종 자력 추락 확정 시 finger snap</x:v>
      </x:c>
      <x:c r="X25" s="28" t="str">
        <x:v>위기 테마에서 분석 테마로 전환하여 오판 교정을 들려준다.</x:v>
      </x:c>
      <x:c r="Y25" s="28" t="str">
        <x:v>factory_exhaust_fan_sound 원거리 레이어 반영</x:v>
      </x:c>
      <x:c r="Z25" s="28" t="str">
        <x:v>높음</x:v>
      </x:c>
      <x:c r="AA25" s="28" t="str">
        <x:v>시나리오/제작 매뉴얼 + 레포 main@4287b0b 오디오 리소스</x:v>
      </x:c>
    </x:row>
    <x:row r="26">
      <x:c r="A26" s="28" t="n">
        <x:v>25</x:v>
      </x:c>
      <x:c r="B26" s="28" t="str">
        <x:v>D4-04</x:v>
      </x:c>
      <x:c r="C26" s="28" t="str">
        <x:v>말하지 못한 증언</x:v>
      </x:c>
      <x:c r="D26" s="28" t="str">
        <x:v>Day 4</x:v>
      </x:c>
      <x:c r="E26" s="28" t="str">
        <x:v>18:00</x:v>
      </x:c>
      <x:c r="F26" s="28" t="str">
        <x:v>Puzzle</x:v>
      </x:c>
      <x:c r="G26" s="28" t="str">
        <x:v>MEDBAY</x:v>
      </x:c>
      <x:c r="H26" s="28" t="str">
        <x:v>MEDBAY</x:v>
      </x:c>
      <x:c r="I26" s="28" t="str">
        <x:v>5회 예/아니오 제한 심문</x:v>
      </x:c>
      <x:c r="J26" s="28" t="str">
        <x:v>Marcus 의식 회복</x:v>
      </x:c>
      <x:c r="K26" s="28" t="str">
        <x:v>BGM/Midnight_Latitude(Theme_Adrian_Vale)</x:v>
      </x:c>
      <x:c r="L26" s="28" t="str">
        <x:v>ContinueIfSame</x:v>
      </x:c>
      <x:c r="M26" s="40" t="n">
        <x:v>0.4</x:v>
      </x:c>
      <x:c r="N26" s="40" t="n">
        <x:v>1.6</x:v>
      </x:c>
      <x:c r="O26" s="40" t="str"/>
      <x:c r="P26" s="40" t="n">
        <x:v>0</x:v>
      </x:c>
      <x:c r="Q26" s="40" t="str"/>
      <x:c r="R26" s="40" t="n">
        <x:v>0</x:v>
      </x:c>
      <x:c r="S26" s="28" t="str"/>
      <x:c r="T26" s="28" t="str">
        <x:v>SoundEffect/finger snap; SoundEffect/Type_Writer</x:v>
      </x:c>
      <x:c r="U26" s="28" t="str">
        <x:v>질문/응답 중 -7dB</x:v>
      </x:c>
      <x:c r="V26" s="28" t="str">
        <x:v>Day 5 전환 전 페이드아웃</x:v>
      </x:c>
      <x:c r="W26" s="28" t="str">
        <x:v>질문 선택에는 무음, 유효 질문으로 인증 제공 확인 시 finger snap</x:v>
      </x:c>
      <x:c r="X26" s="28" t="str">
        <x:v>질문 기회 제한을 음악이 아니라 UI 템포로 전달한다.</x:v>
      </x:c>
      <x:c r="Y26" s="28"/>
      <x:c r="Z26" s="28" t="str">
        <x:v>높음</x:v>
      </x:c>
      <x:c r="AA26" s="28" t="str">
        <x:v>시나리오/제작 매뉴얼 + 레포 main@4287b0b 오디오 리소스</x:v>
      </x:c>
    </x:row>
    <x:row r="27">
      <x:c r="A27" s="28" t="n">
        <x:v>26</x:v>
      </x:c>
      <x:c r="B27" s="28" t="str">
        <x:v>D5-01</x:v>
      </x:c>
      <x:c r="C27" s="28" t="str">
        <x:v>두 번째 불가능 사건</x:v>
      </x:c>
      <x:c r="D27" s="28" t="str">
        <x:v>Day 5</x:v>
      </x:c>
      <x:c r="E27" s="28" t="str">
        <x:v>09:00</x:v>
      </x:c>
      <x:c r="F27" s="28" t="str">
        <x:v>Investigation</x:v>
      </x:c>
      <x:c r="G27" s="28" t="str">
        <x:v>CABIN_CLAIRE</x:v>
      </x:c>
      <x:c r="H27" s="28" t="str">
        <x:v>VIP_LOUNGE</x:v>
      </x:c>
      <x:c r="I27" s="28" t="str">
        <x:v>연기·출입 영상 없음·위기</x:v>
      </x:c>
      <x:c r="J27" s="28" t="str">
        <x:v>객실 문 개방/연기 노출</x:v>
      </x:c>
      <x:c r="K27" s="28" t="str">
        <x:v>BGM/The_Horizon_Room</x:v>
      </x:c>
      <x:c r="L27" s="28" t="str">
        <x:v>HardCutThenLoop</x:v>
      </x:c>
      <x:c r="M27" s="40" t="n">
        <x:v>0.55</x:v>
      </x:c>
      <x:c r="N27" s="40" t="n">
        <x:v>0.3</x:v>
      </x:c>
      <x:c r="O27" s="40" t="str"/>
      <x:c r="P27" s="40" t="n">
        <x:v>0</x:v>
      </x:c>
      <x:c r="Q27" s="40" t="str"/>
      <x:c r="R27" s="40" t="n">
        <x:v>0</x:v>
      </x:c>
      <x:c r="S27" s="28" t="str">
        <x:v>SoundEffect/boom_sound_effect</x:v>
      </x:c>
      <x:c r="T27" s="28" t="str">
        <x:v>SoundEffect/shoe_footsteps_sound_2</x:v>
      </x:c>
      <x:c r="U27" s="28" t="str">
        <x:v>Claire 구조 대사 시 -8dB</x:v>
      </x:c>
      <x:c r="V27" s="28" t="str">
        <x:v>D5-02에서 Adrian 테마로 전환</x:v>
      </x:c>
      <x:c r="W27" s="28" t="str">
        <x:v>연기 첫 노출 boom 0.20; 공포 효과 과장 금지</x:v>
      </x:c>
      <x:c r="X27" s="28" t="str">
        <x:v>첫 사건과의 시청각적 평행을 만든다.</x:v>
      </x:c>
      <x:c r="Y27" s="28"/>
      <x:c r="Z27" s="28" t="str">
        <x:v>높음</x:v>
      </x:c>
      <x:c r="AA27" s="28" t="str">
        <x:v>시나리오/제작 매뉴얼 + 레포 main@4287b0b 오디오 리소스</x:v>
      </x:c>
    </x:row>
    <x:row r="28">
      <x:c r="A28" s="28" t="n">
        <x:v>27</x:v>
      </x:c>
      <x:c r="B28" s="28" t="str">
        <x:v>D5-02</x:v>
      </x:c>
      <x:c r="C28" s="28" t="str">
        <x:v>자작극</x:v>
      </x:c>
      <x:c r="D28" s="28" t="str">
        <x:v>Day 5</x:v>
      </x:c>
      <x:c r="E28" s="28" t="str">
        <x:v>11:00</x:v>
      </x:c>
      <x:c r="F28" s="28" t="str">
        <x:v>Investigation</x:v>
      </x:c>
      <x:c r="G28" s="28" t="str">
        <x:v>CABIN_CLAIRE</x:v>
      </x:c>
      <x:c r="H28" s="28" t="str">
        <x:v>VIP_LOUNGE</x:v>
      </x:c>
      <x:c r="I28" s="28" t="str">
        <x:v>서비스 로봇·드라이아이스 모순</x:v>
      </x:c>
      <x:c r="J28" s="28" t="str">
        <x:v>거짓말 모순 UI 열림</x:v>
      </x:c>
      <x:c r="K28" s="28" t="str">
        <x:v>BGM/Midnight_Latitude(Theme_Adrian_Vale)</x:v>
      </x:c>
      <x:c r="L28" s="28" t="str">
        <x:v>CrossfadeAndLoop</x:v>
      </x:c>
      <x:c r="M28" s="40" t="n">
        <x:v>0.46</x:v>
      </x:c>
      <x:c r="N28" s="40" t="n">
        <x:v>1.5</x:v>
      </x:c>
      <x:c r="O28" s="40" t="str"/>
      <x:c r="P28" s="40" t="n">
        <x:v>0</x:v>
      </x:c>
      <x:c r="Q28" s="40" t="str"/>
      <x:c r="R28" s="40" t="n">
        <x:v>0</x:v>
      </x:c>
      <x:c r="S28" s="28" t="str"/>
      <x:c r="T28" s="28" t="str">
        <x:v>SoundEffect/finger snap; SoundEffect/Type_Writer; SoundEffect/Whoop_-_a_short_2</x:v>
      </x:c>
      <x:c r="U28" s="28" t="str">
        <x:v>Claire 대사 시 -6dB</x:v>
      </x:c>
      <x:c r="V28" s="28" t="str">
        <x:v>D5-03 이동 때 유지/감쇠</x:v>
      </x:c>
      <x:c r="W28" s="28" t="str">
        <x:v>각 모순 연결은 finger snap, 태블릿 위치 확인은 Whoop 0.18</x:v>
      </x:c>
      <x:c r="X28" s="28" t="str">
        <x:v>자동장치 학습을 명확한 추리 피드백으로 처리한다.</x:v>
      </x:c>
      <x:c r="Y28" s="28"/>
      <x:c r="Z28" s="28" t="str">
        <x:v>높음</x:v>
      </x:c>
      <x:c r="AA28" s="28" t="str">
        <x:v>시나리오/제작 매뉴얼 + 레포 main@4287b0b 오디오 리소스</x:v>
      </x:c>
    </x:row>
    <x:row r="29">
      <x:c r="A29" s="28" t="n">
        <x:v>28</x:v>
      </x:c>
      <x:c r="B29" s="28" t="str">
        <x:v>D5-03</x:v>
      </x:c>
      <x:c r="C29" s="28" t="str">
        <x:v>Claire의 자백</x:v>
      </x:c>
      <x:c r="D29" s="28" t="str">
        <x:v>Day 5</x:v>
      </x:c>
      <x:c r="E29" s="28" t="str">
        <x:v>13:30</x:v>
      </x:c>
      <x:c r="F29" s="28" t="str">
        <x:v>Interrogation</x:v>
      </x:c>
      <x:c r="G29" s="28" t="str">
        <x:v>INTERVIEW</x:v>
      </x:c>
      <x:c r="H29" s="28" t="str">
        <x:v>SECURITY</x:v>
      </x:c>
      <x:c r="I29" s="28" t="str">
        <x:v>태블릿 절도·비자금 자백</x:v>
      </x:c>
      <x:c r="J29" s="28" t="str">
        <x:v>심문 시작</x:v>
      </x:c>
      <x:c r="K29" s="28" t="str">
        <x:v>BGM/The_Mahogany_Ledger(Theme_Richard Hawthorne_Evelyn_Shaw)</x:v>
      </x:c>
      <x:c r="L29" s="28" t="str">
        <x:v>CrossfadeAndLoop</x:v>
      </x:c>
      <x:c r="M29" s="40" t="n">
        <x:v>0.47</x:v>
      </x:c>
      <x:c r="N29" s="40" t="n">
        <x:v>1.8</x:v>
      </x:c>
      <x:c r="O29" s="40" t="str"/>
      <x:c r="P29" s="40" t="n">
        <x:v>0</x:v>
      </x:c>
      <x:c r="Q29" s="40" t="str"/>
      <x:c r="R29" s="40" t="n">
        <x:v>0</x:v>
      </x:c>
      <x:c r="S29" s="28" t="str"/>
      <x:c r="T29" s="28" t="str">
        <x:v>SoundEffect/Book Page Turning; SoundEffect/Type_Writer; SoundEffect/finger snap</x:v>
      </x:c>
      <x:c r="U29" s="28" t="str">
        <x:v>대화 시 -7dB</x:v>
      </x:c>
      <x:c r="V29" s="28" t="str">
        <x:v>D5-04 진입 때 2초 전환</x:v>
      </x:c>
      <x:c r="W29" s="28" t="str">
        <x:v>전체 익명 채팅 해금 시 Type_Writer, 유인 의도 결론 시 finger snap</x:v>
      </x:c>
      <x:c r="X29" s="28" t="str">
        <x:v>Claire 개인 범행과 본 사건을 분리한다.</x:v>
      </x:c>
      <x:c r="Y29" s="28"/>
      <x:c r="Z29" s="28" t="str">
        <x:v>높음</x:v>
      </x:c>
      <x:c r="AA29" s="28" t="str">
        <x:v>시나리오/제작 매뉴얼 + 레포 main@4287b0b 오디오 리소스</x:v>
      </x:c>
    </x:row>
    <x:row r="30">
      <x:c r="A30" s="28" t="n">
        <x:v>29</x:v>
      </x:c>
      <x:c r="B30" s="28" t="str">
        <x:v>D5-04</x:v>
      </x:c>
      <x:c r="C30" s="28" t="str">
        <x:v>자동으로 완성된 방</x:v>
      </x:c>
      <x:c r="D30" s="28" t="str">
        <x:v>Day 5</x:v>
      </x:c>
      <x:c r="E30" s="28" t="str">
        <x:v>16:00</x:v>
      </x:c>
      <x:c r="F30" s="28" t="str">
        <x:v>Investigation</x:v>
      </x:c>
      <x:c r="G30" s="28" t="str">
        <x:v>HORIZON</x:v>
      </x:c>
      <x:c r="H30" s="28" t="str">
        <x:v>HORIZON</x:v>
      </x:c>
      <x:c r="I30" s="28" t="str">
        <x:v>자동장치 가설·세면대 타이머·천장 패널</x:v>
      </x:c>
      <x:c r="J30" s="28" t="str">
        <x:v>증거 보드/독백 시작</x:v>
      </x:c>
      <x:c r="K30" s="28" t="str">
        <x:v>BGM/The_Horizon_Room</x:v>
      </x:c>
      <x:c r="L30" s="28" t="str">
        <x:v>CrossfadeAndLoop</x:v>
      </x:c>
      <x:c r="M30" s="40" t="n">
        <x:v>0.52</x:v>
      </x:c>
      <x:c r="N30" s="40" t="n">
        <x:v>2</x:v>
      </x:c>
      <x:c r="O30" s="40" t="str"/>
      <x:c r="P30" s="40" t="n">
        <x:v>0</x:v>
      </x:c>
      <x:c r="Q30" s="40" t="str"/>
      <x:c r="R30" s="40" t="n">
        <x:v>0</x:v>
      </x:c>
      <x:c r="S30" s="28" t="str"/>
      <x:c r="T30" s="28" t="str">
        <x:v>SoundEffect/finger snap; SoundEffect/Type_Writer</x:v>
      </x:c>
      <x:c r="U30" s="28" t="str">
        <x:v>Adrian 독백 시 -7dB</x:v>
      </x:c>
      <x:c r="V30" s="28" t="str">
        <x:v>Day 6 전환 전 페이드</x:v>
      </x:c>
      <x:c r="W30" s="28" t="str">
        <x:v>가설 연결 완료 시 finger snap 후 0.5초 무음, 결론 문장 재생</x:v>
      </x:c>
      <x:c r="X30" s="28" t="str">
        <x:v>핵심 트릭의 개념적 전환을 무음으로 강조한다.</x:v>
      </x:c>
      <x:c r="Y30" s="28"/>
      <x:c r="Z30" s="28" t="str">
        <x:v>높음</x:v>
      </x:c>
      <x:c r="AA30" s="28" t="str">
        <x:v>시나리오/제작 매뉴얼 + 레포 main@4287b0b 오디오 리소스</x:v>
      </x:c>
    </x:row>
    <x:row r="31">
      <x:c r="A31" s="28" t="n">
        <x:v>30</x:v>
      </x:c>
      <x:c r="B31" s="28" t="str">
        <x:v>D6-01</x:v>
      </x:c>
      <x:c r="C31" s="28" t="str">
        <x:v>안정화 로그</x:v>
      </x:c>
      <x:c r="D31" s="28" t="str">
        <x:v>Day 6</x:v>
      </x:c>
      <x:c r="E31" s="28" t="str">
        <x:v>07:00</x:v>
      </x:c>
      <x:c r="F31" s="28" t="str">
        <x:v>Investigation</x:v>
      </x:c>
      <x:c r="G31" s="28" t="str">
        <x:v>ENGINE_CTRL</x:v>
      </x:c>
      <x:c r="H31" s="28" t="str">
        <x:v>ENGINE_CONTROL</x:v>
      </x:c>
      <x:c r="I31" s="28" t="str">
        <x:v>86kg 비정상 이동 검출</x:v>
      </x:c>
      <x:c r="J31" s="28" t="str">
        <x:v>기관 로그 UI 활성화</x:v>
      </x:c>
      <x:c r="K31" s="28" t="str">
        <x:v>BGM/Midnight_Latitude(Theme_Adrian_Vale)</x:v>
      </x:c>
      <x:c r="L31" s="28" t="str">
        <x:v>CrossfadeAndLoop</x:v>
      </x:c>
      <x:c r="M31" s="40" t="n">
        <x:v>0.48</x:v>
      </x:c>
      <x:c r="N31" s="40" t="n">
        <x:v>2</x:v>
      </x:c>
      <x:c r="O31" s="40" t="str">
        <x:v>SoundEffect/factory_exhaust_fan_sound</x:v>
      </x:c>
      <x:c r="P31" s="40" t="n">
        <x:v>0.32</x:v>
      </x:c>
      <x:c r="Q31" s="40" t="str">
        <x:v>SoundEffect/boat_engine_sound</x:v>
      </x:c>
      <x:c r="R31" s="40" t="n">
        <x:v>0.22</x:v>
      </x:c>
      <x:c r="S31" s="28" t="str"/>
      <x:c r="T31" s="28" t="str">
        <x:v>SoundEffect/Type_Writer; SoundEffect/finger snap</x:v>
      </x:c>
      <x:c r="U31" s="28" t="str">
        <x:v>Owen 대사 시 -6dB</x:v>
      </x:c>
      <x:c r="V31" s="28" t="str">
        <x:v>D6-02에서 Horizon 테마로 전환</x:v>
      </x:c>
      <x:c r="W31" s="28" t="str">
        <x:v>83~89kg 정답 범위 진입 시 UI 예고음 없이 확정 버튼에서만 finger snap</x:v>
      </x:c>
      <x:c r="X31" s="28" t="str">
        <x:v>그래프 조작 중 반복음으로 인한 피로를 피한다.</x:v>
      </x:c>
      <x:c r="Y31" s="28" t="str">
        <x:v>factory_exhaust_fan_sound + boat_engine_sound 반영</x:v>
      </x:c>
      <x:c r="Z31" s="28" t="str">
        <x:v>높음</x:v>
      </x:c>
      <x:c r="AA31" s="28" t="str">
        <x:v>시나리오/제작 매뉴얼 + 레포 main@4287b0b 오디오 리소스</x:v>
      </x:c>
    </x:row>
    <x:row r="32">
      <x:c r="A32" s="28" t="n">
        <x:v>31</x:v>
      </x:c>
      <x:c r="B32" s="28" t="str">
        <x:v>D6-02</x:v>
      </x:c>
      <x:c r="C32" s="28" t="str">
        <x:v>천장 위의 길</x:v>
      </x:c>
      <x:c r="D32" s="28" t="str">
        <x:v>Day 6</x:v>
      </x:c>
      <x:c r="E32" s="28" t="str">
        <x:v>09:30</x:v>
      </x:c>
      <x:c r="F32" s="28" t="str">
        <x:v>Puzzle</x:v>
      </x:c>
      <x:c r="G32" s="28" t="str">
        <x:v>SERVICE_RAIL</x:v>
      </x:c>
      <x:c r="H32" s="28" t="str">
        <x:v>SERVICE_RAIL</x:v>
      </x:c>
      <x:c r="I32" s="28" t="str">
        <x:v>화물 레일 분기·숨은 이동 경로</x:v>
      </x:c>
      <x:c r="J32" s="28" t="str">
        <x:v>서비스 레일 진입</x:v>
      </x:c>
      <x:c r="K32" s="28" t="str">
        <x:v>BGM/The_Horizon_Room</x:v>
      </x:c>
      <x:c r="L32" s="28" t="str">
        <x:v>CrossfadeAndLoop</x:v>
      </x:c>
      <x:c r="M32" s="40" t="n">
        <x:v>0.55</x:v>
      </x:c>
      <x:c r="N32" s="40" t="n">
        <x:v>1.7</x:v>
      </x:c>
      <x:c r="O32" s="40" t="str">
        <x:v>SoundEffect/factory_exhaust_fan_sound</x:v>
      </x:c>
      <x:c r="P32" s="40" t="n">
        <x:v>0.3</x:v>
      </x:c>
      <x:c r="Q32" s="40" t="str"/>
      <x:c r="R32" s="40" t="n">
        <x:v>0</x:v>
      </x:c>
      <x:c r="S32" s="28" t="str"/>
      <x:c r="T32" s="28" t="str">
        <x:v>SoundEffect/Mountain Hiking Footsteps; SoundEffect/shoe_footsteps_sound_2; SoundEffect/boom_sound_effect; SoundEffect/finger snap; SoundEffect/The_sound_of_an_iron_door_knocking; SoundEffect/The_sound_of_an_iron_door_opening_and_closing</x:v>
      </x:c>
      <x:c r="U32" s="28" t="str">
        <x:v>Owen 설명 시 -6dB</x:v>
      </x:c>
      <x:c r="V32" s="28" t="str">
        <x:v>D6-03 진입 때 1.2초 전환</x:v>
      </x:c>
      <x:c r="W32" s="28" t="str">
        <x:v>거친 발걸음은 Mountain Hiking Footsteps 0.15 임시 사용; 시험 카트 도착 boom 0.12 서비스 레일 봉쇄문 첫 조사에는 노크, 해제 후 개폐음.</x:v>
      </x:c>
      <x:c r="X32" s="28" t="str">
        <x:v>금속 레일/카트 전용 리소스가 없다는 갭을 기록한다.</x:v>
      </x:c>
      <x:c r="Y32" s="28" t="str">
        <x:v>철문 노크·개폐 + 팬 반영</x:v>
      </x:c>
      <x:c r="Z32" s="28" t="str">
        <x:v>낮음</x:v>
      </x:c>
      <x:c r="AA32" s="28" t="str">
        <x:v>시나리오/제작 매뉴얼 + 레포 main@4287b0b 오디오 리소스</x:v>
      </x:c>
    </x:row>
    <x:row r="33">
      <x:c r="A33" s="28" t="n">
        <x:v>32</x:v>
      </x:c>
      <x:c r="B33" s="28" t="str">
        <x:v>D6-03</x:v>
      </x:c>
      <x:c r="C33" s="28" t="str">
        <x:v>검은 바닥</x:v>
      </x:c>
      <x:c r="D33" s="28" t="str">
        <x:v>Day 6</x:v>
      </x:c>
      <x:c r="E33" s="28" t="str">
        <x:v>11:00</x:v>
      </x:c>
      <x:c r="F33" s="28" t="str">
        <x:v>Investigation</x:v>
      </x:c>
      <x:c r="G33" s="28" t="str">
        <x:v>BALLAST</x:v>
      </x:c>
      <x:c r="H33" s="28" t="str">
        <x:v>BALLAST_CONTROL_ANNEX</x:v>
      </x:c>
      <x:c r="I33" s="28" t="str">
        <x:v>루미놀·고무 조각·질소 로그·실제 현장</x:v>
      </x:c>
      <x:c r="J33" s="28" t="str">
        <x:v>Ballast 문 개방</x:v>
      </x:c>
      <x:c r="K33" s="28" t="str">
        <x:v>BGM/Evelyn_s_Final_Clause</x:v>
      </x:c>
      <x:c r="L33" s="28" t="str">
        <x:v>CrossfadeAndLoop</x:v>
      </x:c>
      <x:c r="M33" s="40" t="n">
        <x:v>0.58</x:v>
      </x:c>
      <x:c r="N33" s="40" t="n">
        <x:v>1.2</x:v>
      </x:c>
      <x:c r="O33" s="40" t="str">
        <x:v>SoundEffect/factory_exhaust_fan_sound</x:v>
      </x:c>
      <x:c r="P33" s="40" t="n">
        <x:v>0.34</x:v>
      </x:c>
      <x:c r="Q33" s="40" t="str">
        <x:v>SoundEffect/boat_engine_sound</x:v>
      </x:c>
      <x:c r="R33" s="40" t="n">
        <x:v>0.12</x:v>
      </x:c>
      <x:c r="S33" s="28" t="str"/>
      <x:c r="T33" s="28" t="str">
        <x:v>SoundEffect/Mountain Hiking Footsteps; SoundEffect/finger snap; SoundEffect/The_sound_of_an_iron_door_knocking; SoundEffect/The_sound_of_an_iron_door_opening_and_closing</x:v>
      </x:c>
      <x:c r="U33" s="28" t="str">
        <x:v>Helena 설명 시 -7dB</x:v>
      </x:c>
      <x:c r="V33" s="28" t="str">
        <x:v>D6-04에서 Adrian 테마로 전환</x:v>
      </x:c>
      <x:c r="W33" s="28" t="str">
        <x:v>첫 혈흔 궤적 완성 때 The_Horizon_Room에서 Evelyn 테마로 전환하는 연출도 허용 Ballast 진입 직전 접근 실패면 노크, 해제 성공 후 개폐음.</x:v>
      </x:c>
      <x:c r="X33" s="28" t="str">
        <x:v>범인의 존재가 실제 현장에 겹쳐지는 첫 장면이다.</x:v>
      </x:c>
      <x:c r="Y33" s="28" t="str">
        <x:v>철문 노크·개폐 + 팬·엔진 반영</x:v>
      </x:c>
      <x:c r="Z33" s="28" t="str">
        <x:v>중간</x:v>
      </x:c>
      <x:c r="AA33" s="28" t="str">
        <x:v>시나리오/제작 매뉴얼 + 레포 main@4287b0b 오디오 리소스</x:v>
      </x:c>
    </x:row>
    <x:row r="34">
      <x:c r="A34" s="28" t="n">
        <x:v>33</x:v>
      </x:c>
      <x:c r="B34" s="28" t="str">
        <x:v>D6-04</x:v>
      </x:c>
      <x:c r="C34" s="28" t="str">
        <x:v>두 번의 죽음</x:v>
      </x:c>
      <x:c r="D34" s="28" t="str">
        <x:v>Day 6</x:v>
      </x:c>
      <x:c r="E34" s="28" t="str">
        <x:v>14:00</x:v>
      </x:c>
      <x:c r="F34" s="28" t="str">
        <x:v>Investigation</x:v>
      </x:c>
      <x:c r="G34" s="28" t="str">
        <x:v>FORENSIC</x:v>
      </x:c>
      <x:c r="H34" s="28" t="str">
        <x:v>MEDBAY</x:v>
      </x:c>
      <x:c r="I34" s="28" t="str">
        <x:v>비치명 자상·직접 사인 질식 확정</x:v>
      </x:c>
      <x:c r="J34" s="28" t="str">
        <x:v>법의학 카드 UI 열림</x:v>
      </x:c>
      <x:c r="K34" s="28" t="str">
        <x:v>BGM/Midnight_Latitude(Theme_Adrian_Vale)</x:v>
      </x:c>
      <x:c r="L34" s="28" t="str">
        <x:v>CrossfadeAndLoop</x:v>
      </x:c>
      <x:c r="M34" s="40" t="n">
        <x:v>0.43</x:v>
      </x:c>
      <x:c r="N34" s="40" t="n">
        <x:v>1.8</x:v>
      </x:c>
      <x:c r="O34" s="40" t="str"/>
      <x:c r="P34" s="40" t="n">
        <x:v>0</x:v>
      </x:c>
      <x:c r="Q34" s="40" t="str"/>
      <x:c r="R34" s="40" t="n">
        <x:v>0</x:v>
      </x:c>
      <x:c r="S34" s="28" t="str"/>
      <x:c r="T34" s="28" t="str">
        <x:v>SoundEffect/sound_of_clipping_nails; SoundEffect/finger snap; SoundEffect/Whoop_-_a_short_2</x:v>
      </x:c>
      <x:c r="U34" s="28" t="str">
        <x:v>Helena 대사 시 -7dB</x:v>
      </x:c>
      <x:c r="V34" s="28" t="str">
        <x:v>D6-05 이동 때 유지 가능</x:v>
      </x:c>
      <x:c r="W34" s="28" t="str">
        <x:v>샘플 채취음은 0.10 볼륨 임시 사용; 질식 확정 시 finger snap</x:v>
      </x:c>
      <x:c r="X34" s="28" t="str">
        <x:v>법의학 결론은 충격음보다 정확한 UI 피드백을 사용한다.</x:v>
      </x:c>
      <x:c r="Y34" s="28"/>
      <x:c r="Z34" s="28" t="str">
        <x:v>낮음</x:v>
      </x:c>
      <x:c r="AA34" s="28" t="str">
        <x:v>시나리오/제작 매뉴얼 + 레포 main@4287b0b 오디오 리소스</x:v>
      </x:c>
    </x:row>
    <x:row r="35">
      <x:c r="A35" s="28" t="n">
        <x:v>34</x:v>
      </x:c>
      <x:c r="B35" s="28" t="str">
        <x:v>D6-05</x:v>
      </x:c>
      <x:c r="C35" s="28" t="str">
        <x:v>타임라인 퍼즐</x:v>
      </x:c>
      <x:c r="D35" s="28" t="str">
        <x:v>Day 6</x:v>
      </x:c>
      <x:c r="E35" s="28" t="str">
        <x:v>18:00</x:v>
      </x:c>
      <x:c r="F35" s="28" t="str">
        <x:v>Puzzle</x:v>
      </x:c>
      <x:c r="G35" s="28" t="str">
        <x:v>EVIDENCE_BOARD</x:v>
      </x:c>
      <x:c r="H35" s="28" t="str">
        <x:v>NEWS_LOUNGE</x:v>
      </x:c>
      <x:c r="I35" s="28" t="str">
        <x:v>12장 사건 배열·참 타임라인</x:v>
      </x:c>
      <x:c r="J35" s="28" t="str">
        <x:v>증거 보드 진입</x:v>
      </x:c>
      <x:c r="K35" s="28" t="str">
        <x:v>BGM/Midnight_Latitude(Theme_Adrian_Vale)</x:v>
      </x:c>
      <x:c r="L35" s="28" t="str">
        <x:v>ContinueIfSame</x:v>
      </x:c>
      <x:c r="M35" s="40" t="n">
        <x:v>0.49</x:v>
      </x:c>
      <x:c r="N35" s="40" t="n">
        <x:v>1.5</x:v>
      </x:c>
      <x:c r="O35" s="40" t="str"/>
      <x:c r="P35" s="40" t="n">
        <x:v>0</x:v>
      </x:c>
      <x:c r="Q35" s="40" t="str"/>
      <x:c r="R35" s="40" t="n">
        <x:v>0</x:v>
      </x:c>
      <x:c r="S35" s="28" t="str"/>
      <x:c r="T35" s="28" t="str">
        <x:v>SoundEffect/Type_Writer; SoundEffect/finger snap; SoundEffect/Whoop_-_a_short_2</x:v>
      </x:c>
      <x:c r="U35" s="28" t="str">
        <x:v>Adrian 독백 시 -7dB</x:v>
      </x:c>
      <x:c r="V35" s="28" t="str">
        <x:v>Day 7 전환 직전 페이드아웃</x:v>
      </x:c>
      <x:c r="W35" s="28" t="str">
        <x:v>카드 배치는 무음, 충돌 해소/핵심 시각 잠금마다 finger snap, 전체 완료 Whoop 0.18</x:v>
      </x:c>
      <x:c r="X35" s="28" t="str">
        <x:v>긴 퍼즐에서 과도한 반복 SFX를 제한한다.</x:v>
      </x:c>
      <x:c r="Y35" s="28"/>
      <x:c r="Z35" s="28" t="str">
        <x:v>높음</x:v>
      </x:c>
      <x:c r="AA35" s="28" t="str">
        <x:v>시나리오/제작 매뉴얼 + 레포 main@4287b0b 오디오 리소스</x:v>
      </x:c>
    </x:row>
    <x:row r="36">
      <x:c r="A36" s="28" t="n">
        <x:v>35</x:v>
      </x:c>
      <x:c r="B36" s="28" t="str">
        <x:v>D7-01</x:v>
      </x:c>
      <x:c r="C36" s="28" t="str">
        <x:v>마지막 파괴 시도</x:v>
      </x:c>
      <x:c r="D36" s="28" t="str">
        <x:v>Day 7</x:v>
      </x:c>
      <x:c r="E36" s="28" t="str">
        <x:v>06:30</x:v>
      </x:c>
      <x:c r="F36" s="28" t="str">
        <x:v>Investigation</x:v>
      </x:c>
      <x:c r="G36" s="28" t="str">
        <x:v>VAULT</x:v>
      </x:c>
      <x:c r="H36" s="28" t="str">
        <x:v>VAULT</x:v>
      </x:c>
      <x:c r="I36" s="28" t="str">
        <x:v>가짜 화재경보·추격·모듈 파괴 저지</x:v>
      </x:c>
      <x:c r="J36" s="28" t="str">
        <x:v>경보 이벤트 시작</x:v>
      </x:c>
      <x:c r="K36" s="28" t="str">
        <x:v>BGM/Evelyn_s_Final_Clause</x:v>
      </x:c>
      <x:c r="L36" s="28" t="str">
        <x:v>HardCutThenLoop</x:v>
      </x:c>
      <x:c r="M36" s="40" t="n">
        <x:v>0.63</x:v>
      </x:c>
      <x:c r="N36" s="40" t="n">
        <x:v>0.2</x:v>
      </x:c>
      <x:c r="O36" s="40" t="str"/>
      <x:c r="P36" s="40" t="n">
        <x:v>0</x:v>
      </x:c>
      <x:c r="Q36" s="40" t="str"/>
      <x:c r="R36" s="40" t="n">
        <x:v>0</x:v>
      </x:c>
      <x:c r="S36" s="28" t="str">
        <x:v>SoundEffect/boom_sound_effect</x:v>
      </x:c>
      <x:c r="T36" s="28" t="str">
        <x:v>SoundEffect/shoe_footsteps_sound_2; SoundEffect/sound_of_clipping_nails; SoundEffect/boom_sound_effect; SoundEffect/The_sound_of_an_iron_door_knocking; SoundEffect/The_sound_of_an_iron_door_opening_and_closing</x:v>
      </x:c>
      <x:c r="U36" s="28" t="str">
        <x:v>대치 대사 시 -7dB</x:v>
      </x:c>
      <x:c r="V36" s="28" t="str">
        <x:v>D7-02에서 2초 크로스페이드</x:v>
      </x:c>
      <x:c r="W36" s="28" t="str">
        <x:v>케이블/봉인 절단에 sound_of_clipping_nails 0.15 임시 사용; 파괴 임팩트 boom 0.28 가짜 경보 후 금고 철문 진입에 개폐음. 잠금 지연은 노크음 1회만.</x:v>
      </x:c>
      <x:c r="X36" s="28" t="str">
        <x:v>클라이맥스 전 행동 장면. 하드컷을 허용한다.</x:v>
      </x:c>
      <x:c r="Y36" s="28" t="str">
        <x:v>철문 노크·개폐 반영</x:v>
      </x:c>
      <x:c r="Z36" s="28" t="str">
        <x:v>중간</x:v>
      </x:c>
      <x:c r="AA36" s="28" t="str">
        <x:v>시나리오/제작 매뉴얼 + 레포 main@4287b0b 오디오 리소스</x:v>
      </x:c>
    </x:row>
    <x:row r="37">
      <x:c r="A37" s="28" t="n">
        <x:v>36</x:v>
      </x:c>
      <x:c r="B37" s="28" t="str">
        <x:v>D7-02</x:v>
      </x:c>
      <x:c r="C37" s="28" t="str">
        <x:v>보호면의 침방울</x:v>
      </x:c>
      <x:c r="D37" s="28" t="str">
        <x:v>Day 7</x:v>
      </x:c>
      <x:c r="E37" s="28" t="str">
        <x:v>09:00</x:v>
      </x:c>
      <x:c r="F37" s="28" t="str">
        <x:v>Investigation</x:v>
      </x:c>
      <x:c r="G37" s="28" t="str">
        <x:v>FORENSIC</x:v>
      </x:c>
      <x:c r="H37" s="28" t="str">
        <x:v>MEDBAY</x:v>
      </x:c>
      <x:c r="I37" s="28" t="str">
        <x:v>압수 논리·DNA 직접 접촉</x:v>
      </x:c>
      <x:c r="J37" s="28" t="str">
        <x:v>법의학 검사 시작</x:v>
      </x:c>
      <x:c r="K37" s="28" t="str">
        <x:v>BGM/Midnight_Latitude(Theme_Adrian_Vale)</x:v>
      </x:c>
      <x:c r="L37" s="28" t="str">
        <x:v>CrossfadeAndLoop</x:v>
      </x:c>
      <x:c r="M37" s="40" t="n">
        <x:v>0.44</x:v>
      </x:c>
      <x:c r="N37" s="40" t="n">
        <x:v>2</x:v>
      </x:c>
      <x:c r="O37" s="40" t="str"/>
      <x:c r="P37" s="40" t="n">
        <x:v>0</x:v>
      </x:c>
      <x:c r="Q37" s="40" t="str"/>
      <x:c r="R37" s="40" t="n">
        <x:v>0</x:v>
      </x:c>
      <x:c r="S37" s="28" t="str"/>
      <x:c r="T37" s="28" t="str">
        <x:v>SoundEffect/sound_of_clipping_nails; SoundEffect/Type_Writer; SoundEffect/finger snap</x:v>
      </x:c>
      <x:c r="U37" s="28" t="str">
        <x:v>Helena 대사 시 -7dB</x:v>
      </x:c>
      <x:c r="V37" s="28" t="str">
        <x:v>D7-03에서 Thomas 테마로 전환</x:v>
      </x:c>
      <x:c r="W37" s="28" t="str">
        <x:v>DNA 일치 확정 순간 Evelyn_s_Final_Clause를 5초간 0.35 볼륨으로 크로스페이드 후 복귀 가능</x:v>
      </x:c>
      <x:c r="X37" s="28" t="str">
        <x:v>직접 물증을 추리 테마에서 범인 테마로 잠깐 연결한다.</x:v>
      </x:c>
      <x:c r="Y37" s="28"/>
      <x:c r="Z37" s="28" t="str">
        <x:v>중간</x:v>
      </x:c>
      <x:c r="AA37" s="28" t="str">
        <x:v>시나리오/제작 매뉴얼 + 레포 main@4287b0b 오디오 리소스</x:v>
      </x:c>
    </x:row>
    <x:row r="38">
      <x:c r="A38" s="28" t="n">
        <x:v>37</x:v>
      </x:c>
      <x:c r="B38" s="28" t="str">
        <x:v>D7-03</x:v>
      </x:c>
      <x:c r="C38" s="28" t="str">
        <x:v>15년 전 목소리</x:v>
      </x:c>
      <x:c r="D38" s="28" t="str">
        <x:v>Day 7</x:v>
      </x:c>
      <x:c r="E38" s="28" t="str">
        <x:v>13:00</x:v>
      </x:c>
      <x:c r="F38" s="28" t="str">
        <x:v>Puzzle</x:v>
      </x:c>
      <x:c r="G38" s="28" t="str">
        <x:v>ARCHIVE</x:v>
      </x:c>
      <x:c r="H38" s="28" t="str">
        <x:v>ARCHIVE</x:v>
      </x:c>
      <x:c r="I38" s="28" t="str">
        <x:v>Orpheus 음성 복원·과거 진실</x:v>
      </x:c>
      <x:c r="J38" s="28" t="str">
        <x:v>복구 모듈 재생</x:v>
      </x:c>
      <x:c r="K38" s="28" t="str">
        <x:v>BGM/The_Long_Watch(Theme_Thomas_Reed)</x:v>
      </x:c>
      <x:c r="L38" s="28" t="str">
        <x:v>CrossfadeAndLoop</x:v>
      </x:c>
      <x:c r="M38" s="40" t="n">
        <x:v>0.47</x:v>
      </x:c>
      <x:c r="N38" s="40" t="n">
        <x:v>2.4</x:v>
      </x:c>
      <x:c r="O38" s="40" t="str"/>
      <x:c r="P38" s="40" t="n">
        <x:v>0</x:v>
      </x:c>
      <x:c r="Q38" s="40" t="str"/>
      <x:c r="R38" s="40" t="n">
        <x:v>0</x:v>
      </x:c>
      <x:c r="S38" s="28" t="str"/>
      <x:c r="T38" s="28" t="str">
        <x:v>SoundEffect/Book Page Turning; SoundEffect/Type_Writer; SoundEffect/finger snap</x:v>
      </x:c>
      <x:c r="U38" s="28" t="str">
        <x:v>복원 음성 재생 중 BGM -12dB</x:v>
      </x:c>
      <x:c r="V38" s="28" t="str">
        <x:v>D7-04 이동 때 2.5초 전환</x:v>
      </x:c>
      <x:c r="W38" s="28" t="str">
        <x:v>핵심 음성 구간에서는 BGM을 거의 무음으로 내려 실제 음성 가독성 확보</x:v>
      </x:c>
      <x:c r="X38" s="28" t="str">
        <x:v>음성 자료가 주인공이므로 음악은 반드시 양보한다.</x:v>
      </x:c>
      <x:c r="Y38" s="28"/>
      <x:c r="Z38" s="28" t="str">
        <x:v>높음</x:v>
      </x:c>
      <x:c r="AA38" s="28" t="str">
        <x:v>시나리오/제작 매뉴얼 + 레포 main@4287b0b 오디오 리소스</x:v>
      </x:c>
    </x:row>
    <x:row r="39">
      <x:c r="A39" s="28" t="n">
        <x:v>38</x:v>
      </x:c>
      <x:c r="B39" s="28" t="str">
        <x:v>D7-04</x:v>
      </x:c>
      <x:c r="C39" s="28" t="str">
        <x:v>Evelyn의 제안</x:v>
      </x:c>
      <x:c r="D39" s="28" t="str">
        <x:v>Day 7</x:v>
      </x:c>
      <x:c r="E39" s="28" t="str">
        <x:v>18:00</x:v>
      </x:c>
      <x:c r="F39" s="28" t="str">
        <x:v>Interrogation</x:v>
      </x:c>
      <x:c r="G39" s="28" t="str">
        <x:v>PROMENADE</x:v>
      </x:c>
      <x:c r="H39" s="28" t="str">
        <x:v>PROMENADE</x:v>
      </x:c>
      <x:c r="I39" s="28" t="str">
        <x:v>거래 제안·희생양 논리·부분 자백</x:v>
      </x:c>
      <x:c r="J39" s="28" t="str">
        <x:v>Evelyn 대화 시작</x:v>
      </x:c>
      <x:c r="K39" s="28" t="str">
        <x:v>BGM/The_Mahogany_Ledger(Theme_Richard Hawthorne_Evelyn_Shaw)</x:v>
      </x:c>
      <x:c r="L39" s="28" t="str">
        <x:v>CrossfadeAndLoop</x:v>
      </x:c>
      <x:c r="M39" s="40" t="n">
        <x:v>0.46</x:v>
      </x:c>
      <x:c r="N39" s="40" t="n">
        <x:v>2</x:v>
      </x:c>
      <x:c r="O39" s="40" t="str">
        <x:v>SoundEffect/wind_noise</x:v>
      </x:c>
      <x:c r="P39" s="40" t="n">
        <x:v>0.34</x:v>
      </x:c>
      <x:c r="Q39" s="40" t="str">
        <x:v>SoundEffect/Sound_of_waves_on_the_beach_1</x:v>
      </x:c>
      <x:c r="R39" s="40" t="n">
        <x:v>0.3</x:v>
      </x:c>
      <x:c r="S39" s="28" t="str"/>
      <x:c r="T39" s="28" t="str">
        <x:v>SoundEffect/finger snap</x:v>
      </x:c>
      <x:c r="U39" s="28" t="str">
        <x:v>대화 시 BGM -8dB, 파도 -4dB</x:v>
      </x:c>
      <x:c r="V39" s="28" t="str">
        <x:v>D8-01 전환 전 1.5초 페이드</x:v>
      </x:c>
      <x:c r="W39" s="28" t="str">
        <x:v>거래의 실질이 드러나는 문장에서 Evelyn_s_Final_Clause로 1.2초 전환; 선택 확정 시 finger snap</x:v>
      </x:c>
      <x:c r="X39" s="28" t="str">
        <x:v>공적 권력 테마가 개인적 위협 테마로 바뀌는 순간을 만든다.</x:v>
      </x:c>
      <x:c r="Y39" s="28" t="str">
        <x:v>wind_noise 반영</x:v>
      </x:c>
      <x:c r="Z39" s="28" t="str">
        <x:v>높음</x:v>
      </x:c>
      <x:c r="AA39" s="28" t="str">
        <x:v>시나리오/제작 매뉴얼 + 레포 main@4287b0b 오디오 리소스</x:v>
      </x:c>
    </x:row>
    <x:row r="40">
      <x:c r="A40" s="28" t="n">
        <x:v>39</x:v>
      </x:c>
      <x:c r="B40" s="28" t="str">
        <x:v>D8-01</x:v>
      </x:c>
      <x:c r="C40" s="28" t="str">
        <x:v>최종 심문</x:v>
      </x:c>
      <x:c r="D40" s="28" t="str">
        <x:v>Day 8</x:v>
      </x:c>
      <x:c r="E40" s="28" t="str">
        <x:v>08:00</x:v>
      </x:c>
      <x:c r="F40" s="28" t="str">
        <x:v>Finale</x:v>
      </x:c>
      <x:c r="G40" s="28" t="str">
        <x:v>HORIZON</x:v>
      </x:c>
      <x:c r="H40" s="28" t="str">
        <x:v>HORIZON</x:v>
      </x:c>
      <x:c r="I40" s="28" t="str">
        <x:v>범인·현장·사인·운반법·동기 최종 논증</x:v>
      </x:c>
      <x:c r="J40" s="28" t="str">
        <x:v>최종 심문 UI 시작</x:v>
      </x:c>
      <x:c r="K40" s="28" t="str">
        <x:v>BGM/Evelyn_s_Final_Clause</x:v>
      </x:c>
      <x:c r="L40" s="28" t="str">
        <x:v>CrossfadeAndLoop</x:v>
      </x:c>
      <x:c r="M40" s="40" t="n">
        <x:v>0.6</x:v>
      </x:c>
      <x:c r="N40" s="40" t="n">
        <x:v>1.8</x:v>
      </x:c>
      <x:c r="O40" s="40" t="str"/>
      <x:c r="P40" s="40" t="n">
        <x:v>0</x:v>
      </x:c>
      <x:c r="Q40" s="40" t="str"/>
      <x:c r="R40" s="40" t="n">
        <x:v>0</x:v>
      </x:c>
      <x:c r="S40" s="28" t="str"/>
      <x:c r="T40" s="28" t="str">
        <x:v>SoundEffect/Type_Writer; SoundEffect/finger snap; SoundEffect/Whoop_-_a_short_2</x:v>
      </x:c>
      <x:c r="U40" s="28" t="str">
        <x:v>인물 발언 시 -8dB</x:v>
      </x:c>
      <x:c r="V40" s="28" t="str">
        <x:v>정답이면 D8-02까지 유지, 오답/Bad End는 하드컷</x:v>
      </x:c>
      <x:c r="W40" s="28" t="str">
        <x:v>인트로 6초는 The_Horizon_Room 0.45에서 시작 후 Evelyn 테마로 전환; 각 단계 확정 finger snap</x:v>
      </x:c>
      <x:c r="X40" s="28" t="str">
        <x:v>핵심 장소와 범인 테마를 연속해 최종 논증을 구조화한다.</x:v>
      </x:c>
      <x:c r="Y40" s="28"/>
      <x:c r="Z40" s="28" t="str">
        <x:v>높음</x:v>
      </x:c>
      <x:c r="AA40" s="28" t="str">
        <x:v>시나리오/제작 매뉴얼 + 레포 main@4287b0b 오디오 리소스</x:v>
      </x:c>
    </x:row>
    <x:row r="41">
      <x:c r="A41" s="28" t="n">
        <x:v>40</x:v>
      </x:c>
      <x:c r="B41" s="28" t="str">
        <x:v>D8-02</x:v>
      </x:c>
      <x:c r="C41" s="28" t="str">
        <x:v>마지막 대치</x:v>
      </x:c>
      <x:c r="D41" s="28" t="str">
        <x:v>Day 8</x:v>
      </x:c>
      <x:c r="E41" s="28" t="str">
        <x:v>09:00</x:v>
      </x:c>
      <x:c r="F41" s="28" t="str">
        <x:v>Finale</x:v>
      </x:c>
      <x:c r="G41" s="28" t="str">
        <x:v>STERN</x:v>
      </x:c>
      <x:c r="H41" s="28" t="str">
        <x:v>OPEN_DECK</x:v>
      </x:c>
      <x:c r="I41" s="28" t="str">
        <x:v>Evelyn 논리 반박·체포</x:v>
      </x:c>
      <x:c r="J41" s="28" t="str">
        <x:v>야외 갑판 진입</x:v>
      </x:c>
      <x:c r="K41" s="28" t="str">
        <x:v>BGM/Evelyn_s_Final_Clause</x:v>
      </x:c>
      <x:c r="L41" s="28" t="str">
        <x:v>ContinueIfSame</x:v>
      </x:c>
      <x:c r="M41" s="40" t="n">
        <x:v>0.64</x:v>
      </x:c>
      <x:c r="N41" s="40" t="n">
        <x:v>1.2</x:v>
      </x:c>
      <x:c r="O41" s="40" t="str">
        <x:v>SoundEffect/wind_noise</x:v>
      </x:c>
      <x:c r="P41" s="40" t="n">
        <x:v>0.42</x:v>
      </x:c>
      <x:c r="Q41" s="40" t="str">
        <x:v>SoundEffect/Sound_of_waves_on_the_beach_1</x:v>
      </x:c>
      <x:c r="R41" s="40" t="n">
        <x:v>0.34</x:v>
      </x:c>
      <x:c r="S41" s="28" t="str"/>
      <x:c r="T41" s="28" t="str">
        <x:v>SoundEffect/boom_sound_effect; SoundEffect/finger snap</x:v>
      </x:c>
      <x:c r="U41" s="28" t="str">
        <x:v>대사 시 -9dB, 파도 -3dB</x:v>
      </x:c>
      <x:c r="V41" s="28" t="str">
        <x:v>체포 후 Last_Waltz로 3초 전환</x:v>
      </x:c>
      <x:c r="W41" s="28" t="str">
        <x:v>결정적 반박에 finger snap, 체포 순간 boom 0.18; 이후 Last_Waltz_on_the_Elysium 0.42 대치 종료·체포 후 boat_engine_sound를 0.16으로 천천히 추가.</x:v>
      </x:c>
      <x:c r="X41" s="28" t="str">
        <x:v>위협에서 해소로 음악이 이동한다.</x:v>
      </x:c>
      <x:c r="Y41" s="28" t="str">
        <x:v>wind_noise + boat_engine_sound 반영</x:v>
      </x:c>
      <x:c r="Z41" s="28" t="str">
        <x:v>높음</x:v>
      </x:c>
      <x:c r="AA41" s="28" t="str">
        <x:v>시나리오/제작 매뉴얼 + 레포 main@4287b0b 오디오 리소스</x:v>
      </x:c>
    </x:row>
    <x:row r="42">
      <x:c r="A42" s="28" t="n">
        <x:v>41</x:v>
      </x:c>
      <x:c r="B42" s="28" t="str">
        <x:v>D8-03</x:v>
      </x:c>
      <x:c r="C42" s="28" t="str">
        <x:v>귀항</x:v>
      </x:c>
      <x:c r="D42" s="28" t="str">
        <x:v>Day 8</x:v>
      </x:c>
      <x:c r="E42" s="28" t="str">
        <x:v>11:30</x:v>
      </x:c>
      <x:c r="F42" s="28" t="str">
        <x:v>Epilogue</x:v>
      </x:c>
      <x:c r="G42" s="28" t="str">
        <x:v>PORT</x:v>
      </x:c>
      <x:c r="H42" s="28" t="str">
        <x:v>PORT</x:v>
      </x:c>
      <x:c r="I42" s="28" t="str">
        <x:v>후일담·기사 수정·엔딩 분기</x:v>
      </x:c>
      <x:c r="J42" s="28" t="str">
        <x:v>항구 화면 페이드인</x:v>
      </x:c>
      <x:c r="K42" s="28" t="str">
        <x:v>BGM/Passage_to_Port</x:v>
      </x:c>
      <x:c r="L42" s="28" t="str">
        <x:v>CrossfadeAndLoop</x:v>
      </x:c>
      <x:c r="M42" s="40" t="n">
        <x:v>0.5</x:v>
      </x:c>
      <x:c r="N42" s="40" t="n">
        <x:v>3</x:v>
      </x:c>
      <x:c r="O42" s="40" t="str">
        <x:v>SoundEffect/Sound_of_waves_on_the_beach_1</x:v>
      </x:c>
      <x:c r="P42" s="40" t="n">
        <x:v>0.38</x:v>
      </x:c>
      <x:c r="Q42" s="40" t="str">
        <x:v>SoundEffect/wind_noise</x:v>
      </x:c>
      <x:c r="R42" s="40" t="n">
        <x:v>0.24</x:v>
      </x:c>
      <x:c r="S42" s="28" t="str">
        <x:v>SoundEffect/The_sound_of_flipping_newspaper</x:v>
      </x:c>
      <x:c r="T42" s="28" t="str">
        <x:v>SoundEffect/Book Page Turning; SoundEffect/Type_Writer</x:v>
      </x:c>
      <x:c r="U42" s="28" t="str">
        <x:v>후일담 대사 시 -7dB</x:v>
      </x:c>
      <x:c r="V42" s="28" t="str">
        <x:v>타이틀 이동 시 2.5초 페이드아웃</x:v>
      </x:c>
      <x:c r="W42" s="28" t="str">
        <x:v>A: Passage_to_Port / B: Last_Waltz_on_the_Elysium / C: Evelyn_s_Final_Clause 저음량 / Bad: BGM 정지+boom_sound_effect 입항 쇼트에서 boat_engine_sound를 0.22로 6초 재생 후 페이드아웃.</x:v>
      </x:c>
      <x:c r="X42" s="28" t="str">
        <x:v>엔딩 결과에 따라 같은 항구 화면의 감정적 해석을 다르게 한다.</x:v>
      </x:c>
      <x:c r="Y42" s="28" t="str">
        <x:v>wind_noise + boat_engine_sound 반영</x:v>
      </x:c>
      <x:c r="Z42" s="28" t="str">
        <x:v>높음</x:v>
      </x:c>
      <x:c r="AA42" s="28" t="str">
        <x:v>시나리오/제작 매뉴얼 + 레포 main@4287b0b 오디오 리소스</x:v>
      </x:c>
    </x:row>
  </x:sheetData>
  <x:conditionalFormatting sqref="Y2:Y42">
    <x:cfRule type="expression" dxfId="2" priority="1">
      <x:formula>Y2&lt;&gt;""</x:formula>
    </x:cfRule>
  </x:conditionalFormatting>
  <x:conditionalFormatting sqref="Z2:Z42">
    <x:cfRule type="expression" dxfId="3" priority="2">
      <x:formula>Z2="낮음"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8149c79b1b49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2" hidden="0" customWidth="1"/>
    <x:col min="3" max="3" width="62" hidden="0" customWidth="1"/>
    <x:col min="4" max="4" width="22" hidden="0" customWidth="1"/>
    <x:col min="5" max="5" width="17" hidden="0" customWidth="1"/>
    <x:col min="6" max="6" width="20" hidden="0" customWidth="1"/>
    <x:col min="7" max="7" width="18" hidden="0" customWidth="1"/>
    <x:col min="8" max="8" width="62" hidden="0" customWidth="1"/>
    <x:col min="9" max="9" width="88" hidden="0" customWidth="1"/>
  </x:cols>
  <x:sheetData>
    <x:row r="1" ht="30" customHeight="1">
      <x:c r="A1" s="20" t="str">
        <x:v>Event_ID</x:v>
      </x:c>
      <x:c r="B1" s="20" t="str">
        <x:v>Trigger</x:v>
      </x:c>
      <x:c r="C1" s="20" t="str">
        <x:v>Resource_Key</x:v>
      </x:c>
      <x:c r="D1" s="20" t="str">
        <x:v>Playback_Mode</x:v>
      </x:c>
      <x:c r="E1" s="20" t="str">
        <x:v>Default_Volume</x:v>
      </x:c>
      <x:c r="F1" s="20" t="str">
        <x:v>Pitch_Random_Range</x:v>
      </x:c>
      <x:c r="G1" s="20" t="str">
        <x:v>Cooldown/Guard</x:v>
      </x:c>
      <x:c r="H1" s="20" t="str">
        <x:v>Scene/Location_Scope</x:v>
      </x:c>
      <x:c r="I1" s="20" t="str">
        <x:v>AI_Implementation_Note</x:v>
      </x:c>
    </x:row>
    <x:row r="2">
      <x:c r="A2" s="28" t="str">
        <x:v>EVT_DAY_TRANSITION</x:v>
      </x:c>
      <x:c r="B2" s="28" t="str">
        <x:v>Day 카드가 나타날 때</x:v>
      </x:c>
      <x:c r="C2" s="28" t="str">
        <x:v>SoundEffect/The_sound_of_flipping_a_calendar</x:v>
      </x:c>
      <x:c r="D2" s="28" t="str">
        <x:v>OneShot</x:v>
      </x:c>
      <x:c r="E2" s="40" t="n">
        <x:v>0.45</x:v>
      </x:c>
      <x:c r="F2" s="40" t="n">
        <x:v>0</x:v>
      </x:c>
      <x:c r="G2" s="28" t="str">
        <x:v>씬당 1회</x:v>
      </x:c>
      <x:c r="H2" s="28" t="str">
        <x:v>P-01 제외, D2~D8 첫 씬</x:v>
      </x:c>
      <x:c r="I2" s="28" t="str">
        <x:v>재생 중 대사 시작 금지; 종료 0.2초 후 씬 입장</x:v>
      </x:c>
    </x:row>
    <x:row r="3">
      <x:c r="A3" s="28" t="str">
        <x:v>EVT_DOCUMENT_PAGE</x:v>
      </x:c>
      <x:c r="B3" s="28" t="str">
        <x:v>문서/기록 페이지 전환</x:v>
      </x:c>
      <x:c r="C3" s="28" t="str">
        <x:v>SoundEffect/Book Page Turning</x:v>
      </x:c>
      <x:c r="D3" s="28" t="str">
        <x:v>OneShot</x:v>
      </x:c>
      <x:c r="E3" s="40" t="n">
        <x:v>0.35</x:v>
      </x:c>
      <x:c r="F3" s="40" t="n">
        <x:v>0.05</x:v>
      </x:c>
      <x:c r="G3" s="28" t="str">
        <x:v>0.25초</x:v>
      </x:c>
      <x:c r="H3" s="28" t="str">
        <x:v>P-02,P-03,D2-03,D2-06,D3-02,D3-04,D5-03,D7-03,D8-03</x:v>
      </x:c>
      <x:c r="I3" s="28" t="str">
        <x:v>연속 스크롤에는 사용하지 않음</x:v>
      </x:c>
    </x:row>
    <x:row r="4">
      <x:c r="A4" s="28" t="str">
        <x:v>EVT_NEWSPAPER_REVEAL</x:v>
      </x:c>
      <x:c r="B4" s="28" t="str">
        <x:v>기사/신문 화면 첫 노출</x:v>
      </x:c>
      <x:c r="C4" s="28" t="str">
        <x:v>SoundEffect/The_sound_of_flipping_newspaper</x:v>
      </x:c>
      <x:c r="D4" s="28" t="str">
        <x:v>OneShot</x:v>
      </x:c>
      <x:c r="E4" s="40" t="n">
        <x:v>0.48</x:v>
      </x:c>
      <x:c r="F4" s="40" t="n">
        <x:v>0</x:v>
      </x:c>
      <x:c r="G4" s="28" t="str">
        <x:v>1.0초</x:v>
      </x:c>
      <x:c r="H4" s="28" t="str">
        <x:v>D1-02,D3-01,D8-03</x:v>
      </x:c>
      <x:c r="I4" s="28" t="str">
        <x:v>D3-01은 Entry Stinger로 우선</x:v>
      </x:c>
    </x:row>
    <x:row r="5">
      <x:c r="A5" s="28" t="str">
        <x:v>EVT_TEXT_REVEAL</x:v>
      </x:c>
      <x:c r="B5" s="28" t="str">
        <x:v>로그·채팅·기사 텍스트 순차 출력</x:v>
      </x:c>
      <x:c r="C5" s="28" t="str">
        <x:v>SoundEffect/Type_Writer</x:v>
      </x:c>
      <x:c r="D5" s="28" t="str">
        <x:v>LoopWhileText</x:v>
      </x:c>
      <x:c r="E5" s="40" t="n">
        <x:v>0.2</x:v>
      </x:c>
      <x:c r="F5" s="40" t="n">
        <x:v>0.03</x:v>
      </x:c>
      <x:c r="G5" s="28" t="str">
        <x:v>0.15초</x:v>
      </x:c>
      <x:c r="H5" s="28" t="str">
        <x:v>로그/기사/채팅/타임라인 씬</x:v>
      </x:c>
      <x:c r="I5" s="28" t="str">
        <x:v>텍스트 애니메이션 중에만 루프, 스킵 시 즉시 정지</x:v>
      </x:c>
    </x:row>
    <x:row r="6">
      <x:c r="A6" s="28" t="str">
        <x:v>EVT_DEDUCTION_CONFIRM</x:v>
      </x:c>
      <x:c r="B6" s="28" t="str">
        <x:v>모순/결론/가설이 논리적으로 확정</x:v>
      </x:c>
      <x:c r="C6" s="28" t="str">
        <x:v>SoundEffect/finger snap</x:v>
      </x:c>
      <x:c r="D6" s="28" t="str">
        <x:v>OneShot</x:v>
      </x:c>
      <x:c r="E6" s="40" t="n">
        <x:v>0.34</x:v>
      </x:c>
      <x:c r="F6" s="40" t="n">
        <x:v>0</x:v>
      </x:c>
      <x:c r="G6" s="28" t="str">
        <x:v>0.18초</x:v>
      </x:c>
      <x:c r="H6" s="28" t="str">
        <x:v>대부분의 조사·퍼즐</x:v>
      </x:c>
      <x:c r="I6" s="28" t="str">
        <x:v>선택 클릭이 아니라 서버/로직 정답 판정 뒤 재생</x:v>
      </x:c>
    </x:row>
    <x:row r="7">
      <x:c r="A7" s="28" t="str">
        <x:v>EVT_OPTIONAL_COMPLETE</x:v>
      </x:c>
      <x:c r="B7" s="28" t="str">
        <x:v>보조 목표 또는 긴 퍼즐 전체 완료</x:v>
      </x:c>
      <x:c r="C7" s="28" t="str">
        <x:v>SoundEffect/Whoop_-_a_short_2</x:v>
      </x:c>
      <x:c r="D7" s="28" t="str">
        <x:v>OneShot</x:v>
      </x:c>
      <x:c r="E7" s="40" t="n">
        <x:v>0.18</x:v>
      </x:c>
      <x:c r="F7" s="40" t="n">
        <x:v>0</x:v>
      </x:c>
      <x:c r="G7" s="28" t="str">
        <x:v>1.0초</x:v>
      </x:c>
      <x:c r="H7" s="28" t="str">
        <x:v>D1-01,D2-01,D2-02,D5-02,D6-04,D6-05,D8-01</x:v>
      </x:c>
      <x:c r="I7" s="28" t="str">
        <x:v>청음 후 과도하게 경쾌하면 비활성화</x:v>
      </x:c>
    </x:row>
    <x:row r="8">
      <x:c r="A8" s="28" t="str">
        <x:v>EVT_FOOTSTEP_INDOOR</x:v>
      </x:c>
      <x:c r="B8" s="28" t="str">
        <x:v>복도/계단/승선 통로 이동</x:v>
      </x:c>
      <x:c r="C8" s="28" t="str">
        <x:v>SoundEffect/shoe_footsteps_sound_2</x:v>
      </x:c>
      <x:c r="D8" s="28" t="str">
        <x:v>OneShotSequence</x:v>
      </x:c>
      <x:c r="E8" s="40" t="n">
        <x:v>0.28</x:v>
      </x:c>
      <x:c r="F8" s="40" t="n">
        <x:v>0.03</x:v>
      </x:c>
      <x:c r="G8" s="28" t="str">
        <x:v>0.08초</x:v>
      </x:c>
      <x:c r="H8" s="28" t="str">
        <x:v>P-01,P-02,D1-04,D1-06,D4-02,D4-03,D5-01,D7-01</x:v>
      </x:c>
      <x:c r="I8" s="28" t="str">
        <x:v>캐릭터 애니메이션 발 접지 프레임에 동기화</x:v>
      </x:c>
    </x:row>
    <x:row r="9">
      <x:c r="A9" s="28" t="str">
        <x:v>EVT_FOOTSTEP_ROUGH</x:v>
      </x:c>
      <x:c r="B9" s="28" t="str">
        <x:v>밸러스트/서비스 레일 거친 바닥 이동</x:v>
      </x:c>
      <x:c r="C9" s="28" t="str">
        <x:v>SoundEffect/Mountain Hiking Footsteps</x:v>
      </x:c>
      <x:c r="D9" s="28" t="str">
        <x:v>OneShotSequence</x:v>
      </x:c>
      <x:c r="E9" s="40" t="n">
        <x:v>0.15</x:v>
      </x:c>
      <x:c r="F9" s="40" t="n">
        <x:v>0.03</x:v>
      </x:c>
      <x:c r="G9" s="28" t="str">
        <x:v>0.10초</x:v>
      </x:c>
      <x:c r="H9" s="28" t="str">
        <x:v>D6-02,D6-03</x:v>
      </x:c>
      <x:c r="I9" s="28" t="str">
        <x:v>임시 대체. 금속 선내 발걸음 확보 시 교체</x:v>
      </x:c>
    </x:row>
    <x:row r="10">
      <x:c r="A10" s="28" t="str">
        <x:v>EVT_IMPACT</x:v>
      </x:c>
      <x:c r="B10" s="28" t="str">
        <x:v>발견/추락/파괴/강한 결론 임팩트</x:v>
      </x:c>
      <x:c r="C10" s="28" t="str">
        <x:v>SoundEffect/boom_sound_effect</x:v>
      </x:c>
      <x:c r="D10" s="28" t="str">
        <x:v>OneShot</x:v>
      </x:c>
      <x:c r="E10" s="40" t="n">
        <x:v>0.12</x:v>
      </x:c>
      <x:c r="F10" s="40" t="n">
        <x:v>0</x:v>
      </x:c>
      <x:c r="G10" s="28" t="str">
        <x:v>1.5초</x:v>
      </x:c>
      <x:c r="H10" s="28" t="str">
        <x:v>D1-06,D4-02,D5-01,D6-02,D7-01,D8-02,Bad End</x:v>
      </x:c>
      <x:c r="I10" s="28" t="str">
        <x:v>볼륨은 씬별 오버라이드. 저음 과포화 방지</x:v>
      </x:c>
    </x:row>
    <x:row r="11">
      <x:c r="A11" s="28" t="str">
        <x:v>EVT_SAMPLE_CLIP_TEMP</x:v>
      </x:c>
      <x:c r="B11" s="28" t="str">
        <x:v>섬유/샘플/봉인 절단</x:v>
      </x:c>
      <x:c r="C11" s="28" t="str">
        <x:v>SoundEffect/sound_of_clipping_nails</x:v>
      </x:c>
      <x:c r="D11" s="28" t="str">
        <x:v>OneShot</x:v>
      </x:c>
      <x:c r="E11" s="40" t="n">
        <x:v>0.1</x:v>
      </x:c>
      <x:c r="F11" s="40" t="n">
        <x:v>0</x:v>
      </x:c>
      <x:c r="G11" s="28" t="str">
        <x:v>0.4초</x:v>
      </x:c>
      <x:c r="H11" s="28" t="str">
        <x:v>D2-05,D6-04,D7-01,D7-02</x:v>
      </x:c>
      <x:c r="I11" s="28" t="str">
        <x:v>임시 대체. 청음 검수 실패 시 무음 처리</x:v>
      </x:c>
    </x:row>
    <x:row r="12">
      <x:c r="A12" s="28" t="str">
        <x:v>AMB_INTERIOR_CROWD</x:v>
      </x:c>
      <x:c r="B12" s="28" t="str">
        <x:v>공공 실내 군중 앰비언스</x:v>
      </x:c>
      <x:c r="C12" s="28" t="str">
        <x:v>SoundEffect/Cafe_buzzing_sound</x:v>
      </x:c>
      <x:c r="D12" s="28" t="str">
        <x:v>Loop</x:v>
      </x:c>
      <x:c r="E12" s="40" t="n">
        <x:v>0.3</x:v>
      </x:c>
      <x:c r="F12" s="40" t="n">
        <x:v>1.5</x:v>
      </x:c>
      <x:c r="G12" s="28" t="str">
        <x:v>해당 장소 유지</x:v>
      </x:c>
      <x:c r="H12" s="28" t="str">
        <x:v>ATRIUM,DINING,BALLROOM,NEWS_LOUNGE</x:v>
      </x:c>
      <x:c r="I12" s="28" t="str">
        <x:v>대화 시 -4~-6dB duck</x:v>
      </x:c>
    </x:row>
    <x:row r="13">
      <x:c r="A13" s="28" t="str">
        <x:v>AMB_EXTERIOR_WAVES</x:v>
      </x:c>
      <x:c r="B13" s="28" t="str">
        <x:v>항구/야외 갑판/산책 갑판 파도</x:v>
      </x:c>
      <x:c r="C13" s="28" t="str">
        <x:v>SoundEffect/Sound_of_waves_on_the_beach_1</x:v>
      </x:c>
      <x:c r="D13" s="28" t="str">
        <x:v>Loop</x:v>
      </x:c>
      <x:c r="E13" s="40" t="n">
        <x:v>0.42</x:v>
      </x:c>
      <x:c r="F13" s="40" t="n">
        <x:v>2</x:v>
      </x:c>
      <x:c r="G13" s="28" t="str">
        <x:v>해당 장소 유지</x:v>
      </x:c>
      <x:c r="H13" s="28" t="str">
        <x:v>PORT,PROMENADE,OPEN_DECK</x:v>
      </x:c>
      <x:c r="I13" s="28" t="str">
        <x:v>바람 음원이 아니므로 실내에는 사용 금지</x:v>
      </x:c>
    </x:row>
    <x:row r="14">
      <x:c r="A14" s="28" t="str">
        <x:v>EVT_IRON_DOOR_KNOCK</x:v>
      </x:c>
      <x:c r="B14" s="28" t="str">
        <x:v>잠긴 금속문/제한구역 접근 실패 또는 문 반응 확인</x:v>
      </x:c>
      <x:c r="C14" s="28" t="str">
        <x:v>SoundEffect/The_sound_of_an_iron_door_knocking</x:v>
      </x:c>
      <x:c r="D14" s="28" t="str">
        <x:v>OneShot</x:v>
      </x:c>
      <x:c r="E14" s="40" t="n">
        <x:v>0.32</x:v>
      </x:c>
      <x:c r="F14" s="40" t="n">
        <x:v>0.02</x:v>
      </x:c>
      <x:c r="G14" s="28" t="str">
        <x:v>1.2초</x:v>
      </x:c>
      <x:c r="H14" s="28" t="str">
        <x:v>VAULT, SERVICE_RAIL, BALLAST_CONTROL_ANNEX, 제한구역 차단점</x:v>
      </x:c>
      <x:c r="I14" s="28" t="str">
        <x:v>클릭마다 반복하지 말고 첫 실패 또는 명시적 노크 행동에만 재생.</x:v>
      </x:c>
    </x:row>
    <x:row r="15">
      <x:c r="A15" s="28" t="str">
        <x:v>EVT_IRON_DOOR_TOGGLE</x:v>
      </x:c>
      <x:c r="B15" s="28" t="str">
        <x:v>금속문 개폐 애니메이션의 힌지/래치 프레임</x:v>
      </x:c>
      <x:c r="C15" s="28" t="str">
        <x:v>SoundEffect/The_sound_of_an_iron_door_opening_and_closing</x:v>
      </x:c>
      <x:c r="D15" s="28" t="str">
        <x:v>OneShot</x:v>
      </x:c>
      <x:c r="E15" s="40" t="n">
        <x:v>0.34</x:v>
      </x:c>
      <x:c r="F15" s="40" t="n">
        <x:v>0.01</x:v>
      </x:c>
      <x:c r="G15" s="28" t="str">
        <x:v>클립 길이</x:v>
      </x:c>
      <x:c r="H15" s="28" t="str">
        <x:v>CREW_STAIRS, VAULT, SERVICE_RAIL, BALLAST_CONTROL_ANNEX</x:v>
      </x:c>
      <x:c r="I15" s="28" t="str">
        <x:v>일반 객실문에는 사용 금지. 열기/닫기 분리 편집본이 생기면 교체.</x:v>
      </x:c>
    </x:row>
    <x:row r="16">
      <x:c r="A16" s="28" t="str">
        <x:v>AMB_BOAT_ENGINE</x:v>
      </x:c>
      <x:c r="B16" s="28" t="str">
        <x:v>선박 정박·출항·기관 가동 상태</x:v>
      </x:c>
      <x:c r="C16" s="28" t="str">
        <x:v>SoundEffect/boat_engine_sound</x:v>
      </x:c>
      <x:c r="D16" s="28" t="str">
        <x:v>Loop</x:v>
      </x:c>
      <x:c r="E16" s="40" t="n">
        <x:v>0.22</x:v>
      </x:c>
      <x:c r="F16" s="40" t="n">
        <x:v>0</x:v>
      </x:c>
      <x:c r="G16" s="28" t="str">
        <x:v>장소/상태 유지</x:v>
      </x:c>
      <x:c r="H16" s="28" t="str">
        <x:v>PORT, GANGWAY, ENGINE_CONTROL, OPEN_DECK, D8-03</x:v>
      </x:c>
      <x:c r="I16" s="28" t="str">
        <x:v>BGM 저역과 충돌 시 -4dB 또는 로우컷. 실내 공공 구역에는 기본 재생하지 않음.</x:v>
      </x:c>
    </x:row>
    <x:row r="17">
      <x:c r="A17" s="28" t="str">
        <x:v>AMB_FACTORY_FAN</x:v>
      </x:c>
      <x:c r="B17" s="28" t="str">
        <x:v>기관·환기·서비스 설비가 동작하는 제한구역</x:v>
      </x:c>
      <x:c r="C17" s="28" t="str">
        <x:v>SoundEffect/factory_exhaust_fan_sound</x:v>
      </x:c>
      <x:c r="D17" s="28" t="str">
        <x:v>Loop</x:v>
      </x:c>
      <x:c r="E17" s="40" t="n">
        <x:v>0.28</x:v>
      </x:c>
      <x:c r="F17" s="40" t="n">
        <x:v>0</x:v>
      </x:c>
      <x:c r="G17" s="28" t="str">
        <x:v>장소 유지</x:v>
      </x:c>
      <x:c r="H17" s="28" t="str">
        <x:v>ENGINE_CONTROL, SERVICE_RAIL, BALLAST_CONTROL_ANNEX, GENERATOR, CREW_STAIRS</x:v>
      </x:c>
      <x:c r="I17" s="28" t="str">
        <x:v>위치별 볼륨을 다르게 하고 대화 시 -5dB duck.</x:v>
      </x:c>
    </x:row>
    <x:row r="18">
      <x:c r="A18" s="28" t="str">
        <x:v>AMB_WIND</x:v>
      </x:c>
      <x:c r="B18" s="28" t="str">
        <x:v>야외 갑판·항구 진입</x:v>
      </x:c>
      <x:c r="C18" s="28" t="str">
        <x:v>SoundEffect/wind_noise</x:v>
      </x:c>
      <x:c r="D18" s="28" t="str">
        <x:v>Loop</x:v>
      </x:c>
      <x:c r="E18" s="40" t="n">
        <x:v>0.34</x:v>
      </x:c>
      <x:c r="F18" s="40" t="n">
        <x:v>0</x:v>
      </x:c>
      <x:c r="G18" s="28" t="str">
        <x:v>야외 장소 유지</x:v>
      </x:c>
      <x:c r="H18" s="28" t="str">
        <x:v>PORT, PROMENADE, OPEN_DECK</x:v>
      </x:c>
      <x:c r="I18" s="28" t="str">
        <x:v>파도와 2레이어로 재생. 대화 시작 시 바람을 파도보다 더 크게 duck.</x:v>
      </x:c>
    </x:row>
  </x:sheetData>
  <x:pageMargins left="0.7" right="0.7" top="0.75" bottom="0.75" header="0.3" footer="0.3"/>
  <x:tableParts count="1">
    <x:tablePart xmlns:r="http://schemas.openxmlformats.org/officeDocument/2006/relationships" r:id="Rbc13fb2b27f646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100" hidden="0" customWidth="1"/>
  </x:cols>
  <x:sheetData>
    <x:row r="1" ht="30" customHeight="1">
      <x:c r="A1" s="20" t="str">
        <x:v>Rule_Key</x:v>
      </x:c>
      <x:c r="B1" s="20" t="str">
        <x:v>Required_Behavior</x:v>
      </x:c>
      <x:c r="C1" s="20" t="str">
        <x:v>AI/Unity_Execution_Detail</x:v>
      </x:c>
    </x:row>
    <x:row r="2">
      <x:c r="A2" s="28" t="str">
        <x:v>우선순위</x:v>
      </x:c>
      <x:c r="B2" s="28" t="str">
        <x:v>Event/Cutscene Override &gt; Scene Override &gt; Location Default &gt; 현재 재생 유지</x:v>
      </x:c>
      <x:c r="C2" s="28" t="str">
        <x:v>같은 장소에서도 Scene_ID 또는 Situation_State가 바뀌면 씬 큐를 다시 평가한다.</x:v>
      </x:c>
    </x:row>
    <x:row r="3">
      <x:c r="A3" s="28" t="str">
        <x:v>오디오 소스 구성</x:v>
      </x:c>
      <x:c r="B3" s="28" t="str">
        <x:v>Music A/B 2개 + Ambience A/B 2개 + SFX 1개 + Voice 1개 권장</x:v>
      </x:c>
      <x:c r="C3" s="28" t="str">
        <x:v>현재 AudioManager의 musicSource/sfxSource 2개 구조만으로는 음악 크로스페이드와 바람+파도 같은 2레이어 앰비언스를 동시에 처리하기 어렵다.</x:v>
      </x:c>
    </x:row>
    <x:row r="4">
      <x:c r="A4" s="28" t="str">
        <x:v>리소스 키</x:v>
      </x:c>
      <x:c r="B4" s="28" t="str">
        <x:v>Assets/_Project/Resources/ 아래 상대 경로에서 확장자를 제거</x:v>
      </x:c>
      <x:c r="C4" s="28" t="str">
        <x:v>예: SoundEffect/wind_noise, SoundEffect/boat_engine_sound.</x:v>
      </x:c>
    </x:row>
    <x:row r="5">
      <x:c r="A5" s="28" t="str">
        <x:v>BGM 재시작 방지</x:v>
      </x:c>
      <x:c r="B5" s="28" t="str">
        <x:v>새 키가 현재 키와 같으면 재생 위치 유지</x:v>
      </x:c>
      <x:c r="C5" s="28" t="str">
        <x:v>ContinueIfSame. 상황 오버라이드가 끝날 때 이전 트랙 재개 여부는 씬별로 지정한다.</x:v>
      </x:c>
    </x:row>
    <x:row r="6">
      <x:c r="A6" s="28" t="str">
        <x:v>2레이어 앰비언스</x:v>
      </x:c>
      <x:c r="B6" s="28" t="str">
        <x:v>Primary와 Secondary를 독립 페이드·더킹</x:v>
      </x:c>
      <x:c r="C6" s="28" t="str">
        <x:v>야외는 wind+waves, 기관 구역은 fan+engine. 둘 중 빈 키는 로드하지 않는다.</x:v>
      </x:c>
    </x:row>
    <x:row r="7">
      <x:c r="A7" s="28" t="str">
        <x:v>대화 더킹</x:v>
      </x:c>
      <x:c r="B7" s="28" t="str">
        <x:v>BGM -5~-9dB, Primary Ambient -4~-6dB, Secondary Ambient -3~-5dB</x:v>
      </x:c>
      <x:c r="C7" s="28" t="str">
        <x:v>D7-03 복원 음성은 BGM -12dB. 바람은 파도보다 더 크게 낮춘다.</x:v>
      </x:c>
    </x:row>
    <x:row r="8">
      <x:c r="A8" s="28" t="str">
        <x:v>철문 SFX</x:v>
      </x:c>
      <x:c r="B8" s="28" t="str">
        <x:v>금속 제한구역에서만 사용</x:v>
      </x:c>
      <x:c r="C8" s="28" t="str">
        <x:v>잠금 실패는 knock, 정상 개폐는 opening_and_closing. 일반 객실·볼룸·스위트 문에는 사용하지 않는다.</x:v>
      </x:c>
    </x:row>
    <x:row r="9">
      <x:c r="A9" s="28" t="str">
        <x:v>엔진/팬 루프</x:v>
      </x:c>
      <x:c r="B9" s="28" t="str">
        <x:v>장소 진입 전환에서 1.5~2.5초 페이드</x:v>
      </x:c>
      <x:c r="C9" s="28" t="str">
        <x:v>저역 충돌 시 엔진을 우선 낮춘다. 팬은 서비스 구역의 공간 깊이를 표현하는 용도다.</x:v>
      </x:c>
    </x:row>
    <x:row r="10">
      <x:c r="A10" s="28" t="str">
        <x:v>퍼즐 SFX</x:v>
      </x:c>
      <x:c r="B10" s="28" t="str">
        <x:v>드래그/오답은 기본 무음, 논리 단계 확정과 전체 완료에만 피드백</x:v>
      </x:c>
      <x:c r="C10" s="28" t="str">
        <x:v>반복 피로와 정답 누설을 방지한다.</x:v>
      </x:c>
    </x:row>
    <x:row r="11">
      <x:c r="A11" s="28" t="str">
        <x:v>Unity 메타</x:v>
      </x:c>
      <x:c r="B11" s="28" t="str">
        <x:v>신규 5개 mp3의 .meta 생성·커밋 확인</x:v>
      </x:c>
      <x:c r="C11" s="28" t="str">
        <x:v>현재 추가 커밋은 5개 음원만 포함한다. Unity에서 GUID가 생성된 뒤 원본과 .meta를 함께 커밋한다.</x:v>
      </x:c>
    </x:row>
    <x:row r="12">
      <x:c r="A12" s="28" t="str">
        <x:v>Fallback</x:v>
      </x:c>
      <x:c r="B12" s="28" t="str">
        <x:v>씬 큐 실패 → 장소 기본값 → 현재 트랙 유지 → 무음</x:v>
      </x:c>
      <x:c r="C12" s="28" t="str">
        <x:v>SFX/앰비언스 로드 실패는 게임 진행을 막지 않는다.</x:v>
      </x:c>
    </x:row>
    <x:row r="13">
      <x:c r="A13" s="28" t="str">
        <x:v>저장/복원</x:v>
      </x:c>
      <x:c r="B13" s="28" t="str">
        <x:v>재생 위치를 저장하지 않고 로드된 Scene_ID/LocationCode로 재결정</x:v>
      </x:c>
      <x:c r="C13" s="28" t="str">
        <x:v>세이브 로드 직후 ApplyAudioContext를 1회 호출한다.</x:v>
      </x:c>
    </x:row>
    <x:row r="14">
      <x:c r="A14" s="28" t="str">
        <x:v>로깅</x:v>
      </x:c>
      <x:c r="B14" s="28" t="str">
        <x:v>개발 빌드에서 적용 큐와 fallback 이유 기록</x:v>
      </x:c>
      <x:c r="C14" s="28" t="str">
        <x:v>AudioCueApplied(sceneId, locationCode, cueKey, layer, reason). 내부 키는 플레이어 UI에 노출하지 않는다.</x:v>
      </x:c>
    </x:row>
  </x:sheetData>
  <x:pageMargins left="0.7" right="0.7" top="0.75" bottom="0.75" header="0.3" footer="0.3"/>
  <x:tableParts count="1">
    <x:tablePart xmlns:r="http://schemas.openxmlformats.org/officeDocument/2006/relationships" r:id="R46d1848e124c44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8" hidden="0" customWidth="1"/>
    <x:col min="4" max="4" width="65" hidden="0" customWidth="1"/>
    <x:col min="5" max="5" width="65" hidden="0" customWidth="1"/>
  </x:cols>
  <x:sheetData>
    <x:row r="1" ht="30" customHeight="1">
      <x:c r="A1" s="20" t="str">
        <x:v>Audit_Item</x:v>
      </x:c>
      <x:c r="B1" s="20" t="str">
        <x:v>Value</x:v>
      </x:c>
      <x:c r="C1" s="20" t="str">
        <x:v>Source</x:v>
      </x:c>
      <x:c r="D1" s="20" t="str">
        <x:v>Interpretation</x:v>
      </x:c>
      <x:c r="E1" s="20" t="str">
        <x:v>Source_URL</x:v>
      </x:c>
    </x:row>
    <x:row r="2">
      <x:c r="A2" s="28" t="str">
        <x:v>BGM 파일 수</x:v>
      </x:c>
      <x:c r="B2" s="28" t="n">
        <x:v>7</x:v>
      </x:c>
      <x:c r="C2" s="28" t="str">
        <x:v>BGM 폴더</x:v>
      </x:c>
      <x:c r="D2" s="28" t="str">
        <x:v>변경 없음</x:v>
      </x:c>
      <x:c r="E2" s="28" t="str">
        <x:v>https://github.com/madcamp-official/project-mystery/tree/main/Assets/_Project/Resources/BGM</x:v>
      </x:c>
    </x:row>
    <x:row r="3">
      <x:c r="A3" s="28" t="str">
        <x:v>기존 SFX/AMB 수</x:v>
      </x:c>
      <x:c r="B3" s="28" t="n">
        <x:v>12</x:v>
      </x:c>
      <x:c r="C3" s="28" t="str">
        <x:v>SoundEffect 폴더</x:v>
      </x:c>
      <x:c r="D3" s="28" t="str">
        <x:v>기존 매핑 유지</x:v>
      </x:c>
      <x:c r="E3" s="28" t="str">
        <x:v>https://github.com/madcamp-official/project-mystery/tree/main/Assets/_Project/Resources/SoundEffect</x:v>
      </x:c>
    </x:row>
    <x:row r="4">
      <x:c r="A4" s="28" t="str">
        <x:v>신규 SFX/AMB 수</x:v>
      </x:c>
      <x:c r="B4" s="28" t="n">
        <x:v>5</x:v>
      </x:c>
      <x:c r="C4" s="28" t="str">
        <x:v>commit 4287b0b</x:v>
      </x:c>
      <x:c r="D4" s="28" t="str">
        <x:v>이번 개정에 전부 반영</x:v>
      </x:c>
      <x:c r="E4" s="28" t="str">
        <x:v>https://github.com/madcamp-official/project-mystery/commit/4287b0b0b97a28d7655b3d94fd9723756baba9a8</x:v>
      </x:c>
    </x:row>
    <x:row r="5">
      <x:c r="A5" s="28" t="str">
        <x:v>현재 총 SFX/AMB 수</x:v>
      </x:c>
      <x:c r="B5" s="28" t="n">
        <x:v>17</x:v>
      </x:c>
      <x:c r="C5" s="28" t="str">
        <x:v>계산</x:v>
      </x:c>
      <x:c r="D5" s="28" t="str">
        <x:v>12+5</x:v>
      </x:c>
      <x:c r="E5" s="28" t="str">
        <x:v>https://github.com/madcamp-official/project-mystery/commit/4287b0b0b97a28d7655b3d94fd9723756baba9a8</x:v>
      </x:c>
    </x:row>
    <x:row r="6">
      <x:c r="A6" s="28" t="str">
        <x:v>신규 .meta 확인</x:v>
      </x:c>
      <x:c r="B6" s="28" t="n">
        <x:v>0</x:v>
      </x:c>
      <x:c r="C6" s="28" t="str">
        <x:v>commit 4287b0b</x:v>
      </x:c>
      <x:c r="D6" s="28" t="str">
        <x:v>5개 음원만 변경됨</x:v>
      </x:c>
      <x:c r="E6" s="28" t="str">
        <x:v>https://github.com/madcamp-official/project-mystery/commit/4287b0b0b97a28d7655b3d94fd9723756baba9a8</x:v>
      </x:c>
    </x:row>
    <x:row r="7">
      <x:c r="A7" s="28" t="str">
        <x:v>AudioSource 필드</x:v>
      </x:c>
      <x:c r="B7" s="28" t="n">
        <x:v>2</x:v>
      </x:c>
      <x:c r="C7" s="28" t="str">
        <x:v>AudioManager.cs</x:v>
      </x:c>
      <x:c r="D7" s="28" t="str">
        <x:v>musicSource, sfxSource</x:v>
      </x:c>
      <x:c r="E7" s="28" t="str">
        <x:v>https://github.com/madcamp-official/project-mystery/blob/main/Assets/_Project/Code/Core/AudioManager.cs</x:v>
      </x:c>
    </x:row>
    <x:row r="8">
      <x:c r="A8" s="28" t="str">
        <x:v>직접 연결 SFX 필드</x:v>
      </x:c>
      <x:c r="B8" s="28" t="n">
        <x:v>2</x:v>
      </x:c>
      <x:c r="C8" s="28" t="str">
        <x:v>AudioManager.cs</x:v>
      </x:c>
      <x:c r="D8" s="28" t="str">
        <x:v>evidencePickupSfx, badEndSfx</x:v>
      </x:c>
      <x:c r="E8" s="28" t="str">
        <x:v>https://github.com/madcamp-official/project-mystery/blob/main/Assets/_Project/Code/Core/AudioManager.cs</x:v>
      </x:c>
    </x:row>
    <x:row r="9">
      <x:c r="A9" s="28" t="str">
        <x:v>씬 오버라이드 API</x:v>
      </x:c>
      <x:c r="B9" s="28" t="n">
        <x:v>0</x:v>
      </x:c>
      <x:c r="C9" s="28" t="str">
        <x:v>AudioManager.cs</x:v>
      </x:c>
      <x:c r="D9" s="28" t="str">
        <x:v>현재 PlayLocationTheme 중심</x:v>
      </x:c>
      <x:c r="E9" s="28" t="str">
        <x:v>https://github.com/madcamp-official/project-mystery/blob/main/Assets/_Project/Code/Core/AudioManager.cs</x:v>
      </x:c>
    </x:row>
  </x:sheetData>
  <x:conditionalFormatting sqref="B6:B6">
    <x:cfRule type="cellIs" dxfId="4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447495b160423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8" hidden="0" customWidth="1"/>
    <x:col min="4" max="4" width="45" hidden="0" customWidth="1"/>
    <x:col min="5" max="5" width="14" hidden="0" customWidth="1"/>
    <x:col min="6" max="6" width="48" hidden="0" customWidth="1"/>
  </x:cols>
  <x:sheetData>
    <x:row r="1" ht="34" customHeight="1">
      <x:c r="A1" s="4" t="str">
        <x:v>AUDIO COVERAGE DASHBOARD v2.0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신규 5개 음원 반영 여부, 장면 커버리지, 남은 구현 리스크를 확인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0" customHeight="1">
      <x:c r="A4" s="20" t="str">
        <x:v>KPI</x:v>
      </x:c>
      <x:c r="B4" s="20" t="str">
        <x:v>Value</x:v>
      </x:c>
      <x:c r="D4" s="20" t="str">
        <x:v>KPI</x:v>
      </x:c>
      <x:c r="E4" s="20" t="str">
        <x:v>Value</x:v>
      </x:c>
      <x:c r="G4" s="20" t="str">
        <x:v>KPI</x:v>
      </x:c>
      <x:c r="H4" s="20" t="str">
        <x:v>Value</x:v>
      </x:c>
    </x:row>
    <x:row r="5" ht="30" customHeight="1">
      <x:c r="A5" s="28" t="str">
        <x:v>Scene Cue Rows</x:v>
      </x:c>
      <x:c r="B5" s="45" t="n">
        <x:f>COUNTA(Scene_Cues_41!A2:A100)</x:f>
        <x:v>41</x:v>
      </x:c>
      <x:c r="D5" s="28" t="str">
        <x:v>New Assets</x:v>
      </x:c>
      <x:c r="E5" s="45" t="n">
        <x:f>COUNTIF(Audio_Assets!I2:I100,"2026-07-29")</x:f>
        <x:v>5</x:v>
      </x:c>
      <x:c r="G5" s="28" t="str">
        <x:v>Locations</x:v>
      </x:c>
      <x:c r="H5" s="45" t="n">
        <x:f>COUNTA(Location_Defaults!A2:A100)</x:f>
        <x:v>25</x:v>
      </x:c>
    </x:row>
    <x:row r="6" ht="30" customHeight="1">
      <x:c r="A6" s="28" t="str">
        <x:v>BGM Assets</x:v>
      </x:c>
      <x:c r="B6" s="45" t="n">
        <x:f>COUNTIF(Audio_Assets!B2:B100,"BGM")</x:f>
        <x:v>7</x:v>
      </x:c>
      <x:c r="D6" s="28" t="str">
        <x:v>Scenes Using New Assets</x:v>
      </x:c>
      <x:c r="E6" s="45" t="n">
        <x:f>COUNTA(Scene_Cues_41!Y2:Y42)</x:f>
        <x:v>15</x:v>
      </x:c>
      <x:c r="G6" s="28" t="str">
        <x:v>Unmapped Primary BGM</x:v>
      </x:c>
      <x:c r="H6" s="45" t="n">
        <x:f>COUNTBLANK(Scene_Cues_41!K2:K42)</x:f>
        <x:v>0</x:v>
      </x:c>
    </x:row>
    <x:row r="7" ht="30" customHeight="1">
      <x:c r="A7" s="28" t="str">
        <x:v>SFX/AMB Assets</x:v>
      </x:c>
      <x:c r="B7" s="45" t="n">
        <x:f>COUNTIF(Audio_Assets!B2:B100,"SFX/AMB")</x:f>
        <x:v>17</x:v>
      </x:c>
      <x:c r="D7" s="28" t="str">
        <x:v>Missing New .meta</x:v>
      </x:c>
      <x:c r="E7" s="45" t="n">
        <x:f>COUNTIF(Audio_Assets!H2:H100,"커밋에서 .meta 미확인")</x:f>
        <x:v>5</x:v>
      </x:c>
      <x:c r="G7" s="28" t="str">
        <x:v>Unmapped New Assets</x:v>
      </x:c>
      <x:c r="H7" s="45" t="n">
        <x:f>COUNTIF(Audio_Assets!L2:L100,"Unmapped")</x:f>
        <x:v>0</x:v>
      </x:c>
    </x:row>
    <x:row r="10" ht="30" customHeight="1">
      <x:c r="A10" s="20" t="str">
        <x:v>Resolved Gap</x:v>
      </x:c>
      <x:c r="B10" s="20" t="str">
        <x:v>Previous State</x:v>
      </x:c>
      <x:c r="C10" s="20" t="str">
        <x:v>Current Resource</x:v>
      </x:c>
      <x:c r="D10" s="20" t="str">
        <x:v>Current Mapping</x:v>
      </x:c>
      <x:c r="E10" s="20" t="str">
        <x:v>Status</x:v>
      </x:c>
      <x:c r="F10" s="20" t="str">
        <x:v>QA Note</x:v>
      </x:c>
    </x:row>
    <x:row r="11">
      <x:c r="A11" s="28" t="str">
        <x:v>야외 바람</x:v>
      </x:c>
      <x:c r="B11" s="28" t="str">
        <x:v>파도만 사용</x:v>
      </x:c>
      <x:c r="C11" s="28" t="str">
        <x:v>wind_noise</x:v>
      </x:c>
      <x:c r="D11" s="28" t="str">
        <x:v>PORT/PROMENADE/OPEN_DECK</x:v>
      </x:c>
      <x:c r="E11" s="28" t="str">
        <x:v>해결</x:v>
      </x:c>
      <x:c r="F11" s="28" t="str">
        <x:v>대화 더킹 검수</x:v>
      </x:c>
    </x:row>
    <x:row r="12">
      <x:c r="A12" s="28" t="str">
        <x:v>기관 엔진</x:v>
      </x:c>
      <x:c r="B12" s="28" t="str">
        <x:v>무음 또는 BGM만</x:v>
      </x:c>
      <x:c r="C12" s="28" t="str">
        <x:v>boat_engine_sound</x:v>
      </x:c>
      <x:c r="D12" s="28" t="str">
        <x:v>GANGWAY/ENGINE_CONTROL/귀항</x:v>
      </x:c>
      <x:c r="E12" s="28" t="str">
        <x:v>해결</x:v>
      </x:c>
      <x:c r="F12" s="28" t="str">
        <x:v>저역 충돌 검수</x:v>
      </x:c>
    </x:row>
    <x:row r="13">
      <x:c r="A13" s="28" t="str">
        <x:v>기계 환기</x:v>
      </x:c>
      <x:c r="B13" s="28" t="str">
        <x:v>전용 루프 없음</x:v>
      </x:c>
      <x:c r="C13" s="28" t="str">
        <x:v>factory_exhaust_fan_sound</x:v>
      </x:c>
      <x:c r="D13" s="28" t="str">
        <x:v>ENGINE/SERVICE/BALLAST</x:v>
      </x:c>
      <x:c r="E13" s="28" t="str">
        <x:v>해결</x:v>
      </x:c>
      <x:c r="F13" s="28" t="str">
        <x:v>루프 이음새 검수</x:v>
      </x:c>
    </x:row>
    <x:row r="14">
      <x:c r="A14" s="28" t="str">
        <x:v>제한구역 철문</x:v>
      </x:c>
      <x:c r="B14" s="28" t="str">
        <x:v>임팩트/무음 대체</x:v>
      </x:c>
      <x:c r="C14" s="28" t="str">
        <x:v>iron door knock/toggle</x:v>
      </x:c>
      <x:c r="D14" s="28" t="str">
        <x:v>VAULT/SERVICE_RAIL/BALLAST</x:v>
      </x:c>
      <x:c r="E14" s="28" t="str">
        <x:v>해결</x:v>
      </x:c>
      <x:c r="F14" s="28" t="str">
        <x:v>일반문 오사용 금지</x:v>
      </x:c>
    </x:row>
    <x:row r="15">
      <x:c r="A15" s="28" t="str">
        <x:v>금속 발걸음</x:v>
      </x:c>
      <x:c r="B15" s="28" t="str">
        <x:v>Mountain Hiking 임시</x:v>
      </x:c>
      <x:c r="C15" s="28" t="str">
        <x:v>추가 없음</x:v>
      </x:c>
      <x:c r="D15" s="28" t="str">
        <x:v>D6-02/D6-03</x:v>
      </x:c>
      <x:c r="E15" s="28" t="str">
        <x:v>미해결</x:v>
      </x:c>
      <x:c r="F15" s="28" t="str">
        <x:v>전용 금속/고무 발걸음 필요</x:v>
      </x:c>
    </x:row>
    <x:row r="16">
      <x:c r="A16" s="28" t="str">
        <x:v>신규 Unity .meta</x:v>
      </x:c>
      <x:c r="B16" s="28" t="str">
        <x:v>해당 없음</x:v>
      </x:c>
      <x:c r="C16" s="28" t="str">
        <x:v>추가 커밋에서 미확인</x:v>
      </x:c>
      <x:c r="D16" s="28" t="str">
        <x:v>신규 5개 파일</x:v>
      </x:c>
      <x:c r="E16" s="28" t="str">
        <x:v>미해결</x:v>
      </x:c>
      <x:c r="F16" s="28" t="str">
        <x:v>Unity import 후 커밋</x:v>
      </x:c>
    </x:row>
  </x:sheetData>
  <x:mergeCells>
    <x:mergeCell ref="A1:J1"/>
    <x:mergeCell ref="A2:J2"/>
  </x:mergeCells>
  <x:conditionalFormatting sqref="E11:E16">
    <x:cfRule type="expression" dxfId="5" priority="1">
      <x:formula>E11="해결"</x:formula>
    </x:cfRule>
    <x:cfRule type="expression" dxfId="6" priority="2">
      <x:formula>E11="미해결"</x:formula>
    </x:cfRule>
  </x:conditionalFormatting>
  <x:pageMargins left="0.7" right="0.7" top="0.75" bottom="0.75" header="0.3" footer="0.3"/>
</x:worksheet>
</file>